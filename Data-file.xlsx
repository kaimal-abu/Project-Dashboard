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704" documentId="8_{3CAE69A3-AE5B-4257-93BE-F3BFAEF5261B}" xr6:coauthVersionLast="47" xr6:coauthVersionMax="47" xr10:uidLastSave="{F1FD538B-7902-4303-BFEE-20D96DF12BDB}"/>
  <bookViews>
    <workbookView xWindow="-120" yWindow="-120" windowWidth="29040" windowHeight="15720" activeTab="7" xr2:uid="{8A8E2015-1165-48D9-8246-BE8999149D44}"/>
  </bookViews>
  <sheets>
    <sheet name="ACC 3" sheetId="1" r:id="rId1"/>
    <sheet name="Milestone" sheetId="2" r:id="rId2"/>
    <sheet name="Civil foundations" sheetId="5" r:id="rId3"/>
    <sheet name="Capex" sheetId="4" r:id="rId4"/>
    <sheet name="Manpower" sheetId="3" r:id="rId5"/>
    <sheet name="Chimney" sheetId="7" r:id="rId6"/>
    <sheet name="Boiler duct status" sheetId="8" r:id="rId7"/>
    <sheet name="Electrical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7" i="3"/>
  <c r="C3" i="4"/>
  <c r="C9" i="3"/>
  <c r="B9" i="3"/>
  <c r="D8" i="3"/>
  <c r="D3" i="3"/>
  <c r="D4" i="3"/>
  <c r="D5" i="3"/>
  <c r="D6" i="3"/>
  <c r="D2" i="3"/>
  <c r="D6" i="1"/>
  <c r="D7" i="1" s="1"/>
  <c r="D8" i="1" s="1"/>
  <c r="D9" i="3" l="1"/>
</calcChain>
</file>

<file path=xl/sharedStrings.xml><?xml version="1.0" encoding="utf-8"?>
<sst xmlns="http://schemas.openxmlformats.org/spreadsheetml/2006/main" count="343" uniqueCount="250">
  <si>
    <t>Month </t>
  </si>
  <si>
    <t>Manpower deployed </t>
  </si>
  <si>
    <t>Erection tonnage </t>
  </si>
  <si>
    <t>Cumulative erection</t>
  </si>
  <si>
    <t>Mar’25</t>
  </si>
  <si>
    <t>Apr’25</t>
  </si>
  <si>
    <t>May’25</t>
  </si>
  <si>
    <t>Jun’25</t>
  </si>
  <si>
    <t>Jul'25</t>
  </si>
  <si>
    <t>Aug'25</t>
  </si>
  <si>
    <t>Sep'25</t>
  </si>
  <si>
    <t xml:space="preserve">Milestone </t>
  </si>
  <si>
    <t>Target</t>
  </si>
  <si>
    <t>Boiler DHT</t>
  </si>
  <si>
    <t>17.08.26 - Completed</t>
  </si>
  <si>
    <t xml:space="preserve">Boiler NDHT </t>
  </si>
  <si>
    <t>15.10.26/25.10.26/18.11.26</t>
  </si>
  <si>
    <t>TG Box up</t>
  </si>
  <si>
    <t>31.08.26/30.09.26/31.10.26</t>
  </si>
  <si>
    <t>TG Oil Flushing completion</t>
  </si>
  <si>
    <t>Boiler Light up</t>
  </si>
  <si>
    <t xml:space="preserve">Steam Blowing Completion </t>
  </si>
  <si>
    <t>Sync</t>
  </si>
  <si>
    <t>Full Load</t>
  </si>
  <si>
    <t>20.02.27/10.03.27</t>
  </si>
  <si>
    <t xml:space="preserve">Trial Operation </t>
  </si>
  <si>
    <t>25.02.27/15.03.27</t>
  </si>
  <si>
    <t>Cable rack</t>
  </si>
  <si>
    <r>
      <t>Completed / Total Foundations</t>
    </r>
    <r>
      <rPr>
        <sz val="12"/>
        <color rgb="FFFFFFFF"/>
        <rFont val="Aptos"/>
        <family val="2"/>
      </rPr>
      <t> </t>
    </r>
  </si>
  <si>
    <t>Last Commitments</t>
  </si>
  <si>
    <t>RHS CER to ESP </t>
  </si>
  <si>
    <t>LHS CER to ESP </t>
  </si>
  <si>
    <t>CER to Boiler </t>
  </si>
  <si>
    <t>FD3A/PA3A cable route-30.06.26/15.07.26/30.07.26/14.08.26/05.09.26/20.09.26</t>
  </si>
  <si>
    <t>ESP to ESP Control Room (LHS) – Electromech/RVPR</t>
  </si>
  <si>
    <t>3/8 Foundations </t>
  </si>
  <si>
    <t>ESP to ESP Control Room (RHS) - RVPR</t>
  </si>
  <si>
    <t>ESP CR to ESP cablings – 30.07.26/14.08.26/31.08.26/10.09.26/25.09.26</t>
  </si>
  <si>
    <t>FD-3A</t>
  </si>
  <si>
    <t>PA 3A</t>
  </si>
  <si>
    <t>10.08.26/31.08.26/10.09.26/24.09.26</t>
  </si>
  <si>
    <t xml:space="preserve">BA Int Silo </t>
  </si>
  <si>
    <t xml:space="preserve"> 30.08.26/05.09.26/25.09.26/30.09.26</t>
  </si>
  <si>
    <t>BA Hopper foundation</t>
  </si>
  <si>
    <t>Completed</t>
  </si>
  <si>
    <t>Description</t>
  </si>
  <si>
    <t>Fig in crs</t>
  </si>
  <si>
    <t>Percentage</t>
  </si>
  <si>
    <t>RE</t>
  </si>
  <si>
    <t xml:space="preserve">Agency </t>
  </si>
  <si>
    <t>Required Manpower</t>
  </si>
  <si>
    <t>Available Manpower</t>
  </si>
  <si>
    <t>Shortfall</t>
  </si>
  <si>
    <t>Texcel- Boiler</t>
  </si>
  <si>
    <t>Texcel – Piping works</t>
  </si>
  <si>
    <t>A K Singhania</t>
  </si>
  <si>
    <t>Navnirman</t>
  </si>
  <si>
    <t>M/s Sriram - Electrical</t>
  </si>
  <si>
    <t>M/s Sriram - C&amp;I</t>
  </si>
  <si>
    <t>M/s Aplha - TG</t>
  </si>
  <si>
    <t xml:space="preserve">Total </t>
  </si>
  <si>
    <t>SL NO</t>
  </si>
  <si>
    <t>PGMA</t>
  </si>
  <si>
    <t>CIRCUIT</t>
  </si>
  <si>
    <t>TOTAL MODULE</t>
  </si>
  <si>
    <t>PRE ASSY</t>
  </si>
  <si>
    <t>BAL. ASSY</t>
  </si>
  <si>
    <t>ERECTION</t>
  </si>
  <si>
    <t>BAL.ERN</t>
  </si>
  <si>
    <t>SEP-ERN</t>
  </si>
  <si>
    <t>OCT-ERN</t>
  </si>
  <si>
    <t>NOV-ERN</t>
  </si>
  <si>
    <t>DEC-ERN</t>
  </si>
  <si>
    <t>1</t>
  </si>
  <si>
    <t>48 012</t>
  </si>
  <si>
    <t>FD TO APH</t>
  </si>
  <si>
    <t>26</t>
  </si>
  <si>
    <t>14</t>
  </si>
  <si>
    <t>12</t>
  </si>
  <si>
    <t>13</t>
  </si>
  <si>
    <t>2</t>
  </si>
  <si>
    <t>48-018</t>
  </si>
  <si>
    <t>FD-SCAPH TO APH</t>
  </si>
  <si>
    <t>6</t>
  </si>
  <si>
    <t>5</t>
  </si>
  <si>
    <t>7</t>
  </si>
  <si>
    <t>48-112</t>
  </si>
  <si>
    <t>PA TO APH</t>
  </si>
  <si>
    <t>36</t>
  </si>
  <si>
    <t>18</t>
  </si>
  <si>
    <t>23</t>
  </si>
  <si>
    <t>3</t>
  </si>
  <si>
    <t>48 142</t>
  </si>
  <si>
    <t>TEMPERING DUCT</t>
  </si>
  <si>
    <t>104</t>
  </si>
  <si>
    <t>29</t>
  </si>
  <si>
    <t>75</t>
  </si>
  <si>
    <t>78</t>
  </si>
  <si>
    <t>4</t>
  </si>
  <si>
    <t>48-202</t>
  </si>
  <si>
    <t>HOT SA PART 2</t>
  </si>
  <si>
    <t>32</t>
  </si>
  <si>
    <t>31</t>
  </si>
  <si>
    <t>30</t>
  </si>
  <si>
    <t>48-208</t>
  </si>
  <si>
    <t>HOT SA PART 1</t>
  </si>
  <si>
    <t>20</t>
  </si>
  <si>
    <t>17</t>
  </si>
  <si>
    <t>18-212</t>
  </si>
  <si>
    <t>WIND BOX</t>
  </si>
  <si>
    <t>10</t>
  </si>
  <si>
    <t>0</t>
  </si>
  <si>
    <t>48 222</t>
  </si>
  <si>
    <t>APH TO HOT PA</t>
  </si>
  <si>
    <t>22</t>
  </si>
  <si>
    <t>11</t>
  </si>
  <si>
    <t>15</t>
  </si>
  <si>
    <t>8</t>
  </si>
  <si>
    <t>48-232</t>
  </si>
  <si>
    <t>HOT PA TO BUS</t>
  </si>
  <si>
    <t>9</t>
  </si>
  <si>
    <t>48-262</t>
  </si>
  <si>
    <t>SOFA</t>
  </si>
  <si>
    <t>111</t>
  </si>
  <si>
    <t>48 382</t>
  </si>
  <si>
    <t>ECO</t>
  </si>
  <si>
    <t>48 386</t>
  </si>
  <si>
    <t>TOGGLE</t>
  </si>
  <si>
    <t>48-388</t>
  </si>
  <si>
    <t>SCR TO APH</t>
  </si>
  <si>
    <t>48-432</t>
  </si>
  <si>
    <t>APH TO BOF</t>
  </si>
  <si>
    <t>38</t>
  </si>
  <si>
    <t>48-462</t>
  </si>
  <si>
    <t>BOF TO ESP INLET</t>
  </si>
  <si>
    <t>63</t>
  </si>
  <si>
    <t>48-482</t>
  </si>
  <si>
    <t>ESP OUTLET</t>
  </si>
  <si>
    <t>72</t>
  </si>
  <si>
    <t>24</t>
  </si>
  <si>
    <t>48</t>
  </si>
  <si>
    <t>52</t>
  </si>
  <si>
    <t>16</t>
  </si>
  <si>
    <t>48-485</t>
  </si>
  <si>
    <t>ID INLET DUCT</t>
  </si>
  <si>
    <t>8-492/49</t>
  </si>
  <si>
    <t>ID OUT LET TO FGD</t>
  </si>
  <si>
    <t>19</t>
  </si>
  <si>
    <t>48-496</t>
  </si>
  <si>
    <t>TIATANIUM DUCT</t>
  </si>
  <si>
    <t>48 662</t>
  </si>
  <si>
    <t>MILL DUCT</t>
  </si>
  <si>
    <t>91</t>
  </si>
  <si>
    <t>762</t>
  </si>
  <si>
    <t>226</t>
  </si>
  <si>
    <t>536</t>
  </si>
  <si>
    <t>184</t>
  </si>
  <si>
    <t>578</t>
  </si>
  <si>
    <t>% OF WORK COMPLETION</t>
  </si>
  <si>
    <t>29.65879</t>
  </si>
  <si>
    <t>70.34121</t>
  </si>
  <si>
    <t>24.147</t>
  </si>
  <si>
    <t>75.853</t>
  </si>
  <si>
    <t>ch</t>
  </si>
  <si>
    <t>S. NO.</t>
  </si>
  <si>
    <t>MOTOR ID</t>
  </si>
  <si>
    <t>NAME PLATE RATING</t>
  </si>
  <si>
    <t>VOLTAGE LEVEL -KV</t>
  </si>
  <si>
    <t>Board charging date</t>
  </si>
  <si>
    <t>Motor trial dates</t>
  </si>
  <si>
    <t>MDBFP</t>
  </si>
  <si>
    <t>14600 KW</t>
  </si>
  <si>
    <t>Charged</t>
  </si>
  <si>
    <t>25.10.26 (Readiness for trial)</t>
  </si>
  <si>
    <t>ID FAN</t>
  </si>
  <si>
    <t>14425 KW</t>
  </si>
  <si>
    <t>FD FAN</t>
  </si>
  <si>
    <t>2800 KW</t>
  </si>
  <si>
    <t>30.09.26/10.10.26/25.10.26</t>
  </si>
  <si>
    <t>PA FAN</t>
  </si>
  <si>
    <t>4825 KW</t>
  </si>
  <si>
    <t>CEP</t>
  </si>
  <si>
    <t>1550 KW</t>
  </si>
  <si>
    <t xml:space="preserve">11 KV Drives </t>
  </si>
  <si>
    <t>0/10 motor trial done till date</t>
  </si>
  <si>
    <t>MILLS</t>
  </si>
  <si>
    <t>807 KW</t>
  </si>
  <si>
    <t>BRCW PUMP</t>
  </si>
  <si>
    <t>930 KW</t>
  </si>
  <si>
    <t>ECW PUMP (TG)</t>
  </si>
  <si>
    <t>200 KW</t>
  </si>
  <si>
    <t>ACW PUMP</t>
  </si>
  <si>
    <t>400 KW</t>
  </si>
  <si>
    <t>BOP Board</t>
  </si>
  <si>
    <t>HOGGING PUMP</t>
  </si>
  <si>
    <t>500 KW</t>
  </si>
  <si>
    <t>ECW PUMP SG</t>
  </si>
  <si>
    <t>160 KW</t>
  </si>
  <si>
    <t>DRIP PUMP</t>
  </si>
  <si>
    <t>300 KW</t>
  </si>
  <si>
    <t>VACCUM PUMP</t>
  </si>
  <si>
    <t>630 KW</t>
  </si>
  <si>
    <t>3.3 KV Drives</t>
  </si>
  <si>
    <t>0/24 motor trial done till date</t>
  </si>
  <si>
    <t>Oct'25</t>
  </si>
  <si>
    <t>25.10.26/05.12.26/25.12.27</t>
  </si>
  <si>
    <t>30.11.26/31.12.26/15.01.27</t>
  </si>
  <si>
    <t>25.01.27/31.01.27/26.02.27</t>
  </si>
  <si>
    <t>31.10.26/25.11.26/10.12.27</t>
  </si>
  <si>
    <t>Capex till Sep end</t>
  </si>
  <si>
    <t>25.10.26/30.11.26</t>
  </si>
  <si>
    <t>In Progress</t>
  </si>
  <si>
    <t>10 / 12 Foundations </t>
  </si>
  <si>
    <t>5 / 7 Foundations </t>
  </si>
  <si>
    <t>FD/ID/PA 3B cable route-30.06.26/15.07.26/30.07.26/10.08.26/31.08.26/10.09.26/20.09.26/30.09.26/25.10.26</t>
  </si>
  <si>
    <t>ID3A cable route-30.06.26/15.07.26/30.07.26/14.08.26/05.09.26/20.09.26/30.09.26/20.10.26 (last one after centre section removal)</t>
  </si>
  <si>
    <t>ESP CR to ESP cablings-30.07.26/20.08.26/10.09.26/15.09.26/30.09.26/31.10.26</t>
  </si>
  <si>
    <t xml:space="preserve"> 30.08.26/30.09.26/15.10.26/30.10.26</t>
  </si>
  <si>
    <t>15.10.26/25.10.26</t>
  </si>
  <si>
    <t>10.10.26/20.10.26/04.11.26</t>
  </si>
  <si>
    <t>25.09.26/10.10.26/20.10.26/04.11.26</t>
  </si>
  <si>
    <t>05.10.26/20.10.26/25.10.26/20.11.26</t>
  </si>
  <si>
    <t>10.10.26/15.10.26/25.10.26/10.11.26</t>
  </si>
  <si>
    <t>15.09.26/25.09.26/05.10.26/15.10.26</t>
  </si>
  <si>
    <t>10.10.26/15.10.26/31.10.26/20.11.26</t>
  </si>
  <si>
    <t>GT</t>
  </si>
  <si>
    <t>3 nos</t>
  </si>
  <si>
    <t>UAT</t>
  </si>
  <si>
    <t>2 nos</t>
  </si>
  <si>
    <t>UT</t>
  </si>
  <si>
    <t>AHP MCC3</t>
  </si>
  <si>
    <t>ACC Fans</t>
  </si>
  <si>
    <t>72 nos</t>
  </si>
  <si>
    <t>Scanner air fans</t>
  </si>
  <si>
    <t xml:space="preserve">Seal air fans </t>
  </si>
  <si>
    <t>APH</t>
  </si>
  <si>
    <t>ESP Fields</t>
  </si>
  <si>
    <t>120 nos</t>
  </si>
  <si>
    <t>ST</t>
  </si>
  <si>
    <t>1 no</t>
  </si>
  <si>
    <t>ESP CR transformer</t>
  </si>
  <si>
    <t>ACC transformer</t>
  </si>
  <si>
    <t>10 nos</t>
  </si>
  <si>
    <t>11 nos</t>
  </si>
  <si>
    <t>Erected</t>
  </si>
  <si>
    <t>Commissioned</t>
  </si>
  <si>
    <t>Total</t>
  </si>
  <si>
    <t>Foundation completed</t>
  </si>
  <si>
    <t>11.10.26</t>
  </si>
  <si>
    <t>30.09.26/10.10.26/30.10.26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</si>
</sst>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2"/>
      <color rgb="FFFFFFFF"/>
      <name val="Aptos"/>
      <family val="2"/>
    </font>
    <font>
      <b/>
      <sz val="12"/>
      <color rgb="FFFFFFFF"/>
      <name val="Aptos"/>
      <family val="2"/>
    </font>
    <font>
      <sz val="10"/>
      <color rgb="FF000000"/>
      <name val="Times New Roman"/>
      <family val="1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66A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4F81BD"/>
      </top>
      <bottom style="medium">
        <color rgb="FF4F81BD"/>
      </bottom>
      <diagonal/>
    </border>
    <border>
      <left style="medium">
        <color indexed="64"/>
      </left>
      <right style="medium">
        <color indexed="64"/>
      </right>
      <top/>
      <bottom style="medium">
        <color rgb="FF4F81B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4F81BD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0D0E0"/>
      </left>
      <right style="thin">
        <color rgb="FFC0D0E0"/>
      </right>
      <top style="thin">
        <color rgb="FFC0D0E0"/>
      </top>
      <bottom style="thin">
        <color rgb="FFC0D0E0"/>
      </bottom>
      <diagonal/>
    </border>
    <border>
      <left style="thin">
        <color rgb="FFC0D0E0"/>
      </left>
      <right/>
      <top style="thin">
        <color rgb="FFC0D0E0"/>
      </top>
      <bottom style="thin">
        <color rgb="FFC0D0E0"/>
      </bottom>
      <diagonal/>
    </border>
    <border>
      <left/>
      <right/>
      <top style="thin">
        <color rgb="FFC0D0E0"/>
      </top>
      <bottom style="thin">
        <color rgb="FFC0D0E0"/>
      </bottom>
      <diagonal/>
    </border>
    <border>
      <left/>
      <right style="thin">
        <color rgb="FFC0D0E0"/>
      </right>
      <top style="thin">
        <color rgb="FFC0D0E0"/>
      </top>
      <bottom style="thin">
        <color rgb="FFC0D0E0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>
      <left style="thin">
        <color rgb="FFC0D0E0"/>
      </left>
      <right style="thin">
        <color rgb="FFC0D0E0"/>
      </right>
      <top/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12" fillId="0" borderId="0"/>
    <xf numFmtId="0" fontId="15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vertical="center" wrapText="1"/>
    </xf>
    <xf numFmtId="9" fontId="0" fillId="0" borderId="0" xfId="1" applyFont="1"/>
    <xf numFmtId="0" fontId="11" fillId="5" borderId="12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vertical="center" wrapText="1"/>
    </xf>
    <xf numFmtId="0" fontId="11" fillId="5" borderId="14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0" fontId="9" fillId="3" borderId="18" xfId="0" applyFont="1" applyFill="1" applyBorder="1" applyAlignment="1">
      <alignment vertical="center" wrapText="1"/>
    </xf>
    <xf numFmtId="0" fontId="9" fillId="0" borderId="18" xfId="0" applyFont="1" applyBorder="1"/>
    <xf numFmtId="0" fontId="7" fillId="3" borderId="18" xfId="0" applyFont="1" applyFill="1" applyBorder="1" applyAlignment="1">
      <alignment vertical="center" wrapText="1"/>
    </xf>
    <xf numFmtId="0" fontId="0" fillId="0" borderId="18" xfId="0" applyBorder="1"/>
    <xf numFmtId="0" fontId="14" fillId="7" borderId="22" xfId="0" applyFont="1" applyFill="1" applyBorder="1" applyAlignment="1">
      <alignment horizontal="left" vertical="center"/>
    </xf>
    <xf numFmtId="0" fontId="15" fillId="0" borderId="0" xfId="3"/>
    <xf numFmtId="0" fontId="15" fillId="0" borderId="26" xfId="3" applyBorder="1" applyAlignment="1">
      <alignment horizontal="center" vertical="center" wrapText="1"/>
    </xf>
    <xf numFmtId="0" fontId="15" fillId="0" borderId="18" xfId="3" applyBorder="1" applyAlignment="1">
      <alignment horizontal="center" vertical="center" wrapText="1"/>
    </xf>
    <xf numFmtId="0" fontId="15" fillId="0" borderId="18" xfId="3" applyBorder="1"/>
    <xf numFmtId="0" fontId="17" fillId="0" borderId="18" xfId="3" applyFont="1" applyBorder="1" applyAlignment="1">
      <alignment horizontal="center" vertical="center" wrapText="1"/>
    </xf>
    <xf numFmtId="0" fontId="15" fillId="8" borderId="18" xfId="3" applyFill="1" applyBorder="1" applyAlignment="1">
      <alignment horizontal="center" vertical="center" wrapText="1"/>
    </xf>
    <xf numFmtId="0" fontId="16" fillId="0" borderId="0" xfId="0" applyFont="1"/>
    <xf numFmtId="0" fontId="14" fillId="7" borderId="27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3" fillId="6" borderId="22" xfId="0" applyFont="1" applyFill="1" applyBorder="1" applyAlignment="1">
      <alignment horizontal="center" vertical="center" wrapText="1"/>
    </xf>
    <xf numFmtId="0" fontId="0" fillId="0" borderId="0" xfId="0"/>
    <xf numFmtId="0" fontId="14" fillId="7" borderId="23" xfId="0" applyFont="1" applyFill="1" applyBorder="1" applyAlignment="1">
      <alignment horizontal="left" vertical="center"/>
    </xf>
    <xf numFmtId="0" fontId="14" fillId="7" borderId="24" xfId="0" applyFont="1" applyFill="1" applyBorder="1" applyAlignment="1">
      <alignment horizontal="left" vertical="center"/>
    </xf>
    <xf numFmtId="0" fontId="14" fillId="7" borderId="25" xfId="0" applyFont="1" applyFill="1" applyBorder="1" applyAlignment="1">
      <alignment horizontal="left" vertical="center"/>
    </xf>
  </cellXfs>
  <cellStyles count="4">
    <cellStyle name="Normal" xfId="0" builtinId="0"/>
    <cellStyle name="Normal 2" xfId="3" xr:uid="{26A06878-4EF5-4336-A33D-CE7CC3EAB207}"/>
    <cellStyle name="Normal 3" xfId="2" xr:uid="{59BB18FD-A017-49A1-9603-30EA15FB659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138113</xdr:rowOff>
    </xdr:from>
    <xdr:to>
      <xdr:col>3</xdr:col>
      <xdr:colOff>533400</xdr:colOff>
      <xdr:row>6</xdr:row>
      <xdr:rowOff>147638</xdr:rowOff>
    </xdr:to>
    <xdr:sp macro="" textlink="">
      <xdr:nvSpPr>
        <xdr:cNvPr id="2" name="Trapezoid 1">
          <a:extLst>
            <a:ext uri="{FF2B5EF4-FFF2-40B4-BE49-F238E27FC236}">
              <a16:creationId xmlns:a16="http://schemas.microsoft.com/office/drawing/2014/main" id="{B9849243-FD42-0D2E-FB02-67CAE0E78F73}"/>
            </a:ext>
          </a:extLst>
        </xdr:cNvPr>
        <xdr:cNvSpPr/>
      </xdr:nvSpPr>
      <xdr:spPr>
        <a:xfrm>
          <a:off x="1571625" y="500063"/>
          <a:ext cx="904875" cy="733425"/>
        </a:xfrm>
        <a:prstGeom prst="trapezoid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95250</xdr:colOff>
      <xdr:row>6</xdr:row>
      <xdr:rowOff>157163</xdr:rowOff>
    </xdr:from>
    <xdr:to>
      <xdr:col>4</xdr:col>
      <xdr:colOff>66675</xdr:colOff>
      <xdr:row>10</xdr:row>
      <xdr:rowOff>166688</xdr:rowOff>
    </xdr:to>
    <xdr:sp macro="" textlink="">
      <xdr:nvSpPr>
        <xdr:cNvPr id="3" name="Trapezoid 2">
          <a:extLst>
            <a:ext uri="{FF2B5EF4-FFF2-40B4-BE49-F238E27FC236}">
              <a16:creationId xmlns:a16="http://schemas.microsoft.com/office/drawing/2014/main" id="{E8EBED60-948D-4162-9AA7-9D0219CD0E4F}"/>
            </a:ext>
          </a:extLst>
        </xdr:cNvPr>
        <xdr:cNvSpPr/>
      </xdr:nvSpPr>
      <xdr:spPr>
        <a:xfrm>
          <a:off x="1390650" y="1243013"/>
          <a:ext cx="1266825" cy="733425"/>
        </a:xfrm>
        <a:prstGeom prst="trapezoid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566737</xdr:colOff>
      <xdr:row>10</xdr:row>
      <xdr:rowOff>166688</xdr:rowOff>
    </xdr:from>
    <xdr:to>
      <xdr:col>4</xdr:col>
      <xdr:colOff>247650</xdr:colOff>
      <xdr:row>14</xdr:row>
      <xdr:rowOff>176213</xdr:rowOff>
    </xdr:to>
    <xdr:sp macro="" textlink="">
      <xdr:nvSpPr>
        <xdr:cNvPr id="4" name="Trapezoid 3">
          <a:extLst>
            <a:ext uri="{FF2B5EF4-FFF2-40B4-BE49-F238E27FC236}">
              <a16:creationId xmlns:a16="http://schemas.microsoft.com/office/drawing/2014/main" id="{9AFFB28A-B626-44B8-A42C-E738F2E3793E}"/>
            </a:ext>
          </a:extLst>
        </xdr:cNvPr>
        <xdr:cNvSpPr/>
      </xdr:nvSpPr>
      <xdr:spPr>
        <a:xfrm>
          <a:off x="1214437" y="1976438"/>
          <a:ext cx="1624013" cy="733425"/>
        </a:xfrm>
        <a:prstGeom prst="trapezoid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2000" b="1"/>
        </a:p>
      </xdr:txBody>
    </xdr:sp>
    <xdr:clientData/>
  </xdr:twoCellAnchor>
  <xdr:twoCellAnchor>
    <xdr:from>
      <xdr:col>1</xdr:col>
      <xdr:colOff>390524</xdr:colOff>
      <xdr:row>14</xdr:row>
      <xdr:rowOff>171450</xdr:rowOff>
    </xdr:from>
    <xdr:to>
      <xdr:col>4</xdr:col>
      <xdr:colOff>423863</xdr:colOff>
      <xdr:row>19</xdr:row>
      <xdr:rowOff>0</xdr:rowOff>
    </xdr:to>
    <xdr:sp macro="" textlink="">
      <xdr:nvSpPr>
        <xdr:cNvPr id="5" name="Trapezoid 4">
          <a:extLst>
            <a:ext uri="{FF2B5EF4-FFF2-40B4-BE49-F238E27FC236}">
              <a16:creationId xmlns:a16="http://schemas.microsoft.com/office/drawing/2014/main" id="{B37E37B9-E46C-470F-8186-CE42F4779A4D}"/>
            </a:ext>
          </a:extLst>
        </xdr:cNvPr>
        <xdr:cNvSpPr/>
      </xdr:nvSpPr>
      <xdr:spPr>
        <a:xfrm>
          <a:off x="1038224" y="2705100"/>
          <a:ext cx="1976439" cy="73342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10-11-26</a:t>
          </a:r>
        </a:p>
      </xdr:txBody>
    </xdr:sp>
    <xdr:clientData/>
  </xdr:twoCellAnchor>
  <xdr:twoCellAnchor>
    <xdr:from>
      <xdr:col>1</xdr:col>
      <xdr:colOff>185736</xdr:colOff>
      <xdr:row>18</xdr:row>
      <xdr:rowOff>176212</xdr:rowOff>
    </xdr:from>
    <xdr:to>
      <xdr:col>4</xdr:col>
      <xdr:colOff>609600</xdr:colOff>
      <xdr:row>23</xdr:row>
      <xdr:rowOff>4762</xdr:rowOff>
    </xdr:to>
    <xdr:sp macro="" textlink="">
      <xdr:nvSpPr>
        <xdr:cNvPr id="6" name="Trapezoid 5">
          <a:extLst>
            <a:ext uri="{FF2B5EF4-FFF2-40B4-BE49-F238E27FC236}">
              <a16:creationId xmlns:a16="http://schemas.microsoft.com/office/drawing/2014/main" id="{8018C176-D651-4A7E-B1F3-547018AC600A}"/>
            </a:ext>
          </a:extLst>
        </xdr:cNvPr>
        <xdr:cNvSpPr/>
      </xdr:nvSpPr>
      <xdr:spPr>
        <a:xfrm>
          <a:off x="833436" y="3433762"/>
          <a:ext cx="2366964" cy="73342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15-12-26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06E9-25B6-4CBA-A38B-FADA62B5D706}">
  <dimension ref="A1:D9"/>
  <sheetViews>
    <sheetView workbookViewId="0">
      <selection activeCell="C10" sqref="C10"/>
    </sheetView>
  </sheetViews>
  <sheetFormatPr defaultRowHeight="15" x14ac:dyDescent="0.25"/>
  <cols>
    <col min="2" max="2" width="19" bestFit="1" customWidth="1"/>
    <col min="3" max="3" width="16.28515625" bestFit="1" customWidth="1"/>
    <col min="4" max="4" width="18.5703125" bestFit="1" customWidth="1"/>
  </cols>
  <sheetData>
    <row r="1" spans="1:4" ht="26.25" thickBot="1" x14ac:dyDescent="0.3">
      <c r="A1" s="2" t="s">
        <v>0</v>
      </c>
      <c r="B1" s="13" t="s">
        <v>1</v>
      </c>
      <c r="C1" s="13" t="s">
        <v>2</v>
      </c>
      <c r="D1" s="13" t="s">
        <v>3</v>
      </c>
    </row>
    <row r="2" spans="1:4" ht="16.5" thickBot="1" x14ac:dyDescent="0.3">
      <c r="A2" s="14" t="s">
        <v>4</v>
      </c>
      <c r="B2" s="15">
        <v>15</v>
      </c>
      <c r="C2" s="15">
        <v>0</v>
      </c>
      <c r="D2" s="15">
        <v>0</v>
      </c>
    </row>
    <row r="3" spans="1:4" ht="16.5" thickBot="1" x14ac:dyDescent="0.3">
      <c r="A3" s="14" t="s">
        <v>5</v>
      </c>
      <c r="B3" s="15">
        <v>70</v>
      </c>
      <c r="C3" s="15">
        <v>112</v>
      </c>
      <c r="D3" s="15">
        <v>112</v>
      </c>
    </row>
    <row r="4" spans="1:4" ht="15.75" x14ac:dyDescent="0.25">
      <c r="A4" s="16" t="s">
        <v>6</v>
      </c>
      <c r="B4" s="17">
        <v>230</v>
      </c>
      <c r="C4" s="17">
        <v>467</v>
      </c>
      <c r="D4" s="17">
        <v>579</v>
      </c>
    </row>
    <row r="5" spans="1:4" ht="15.75" x14ac:dyDescent="0.25">
      <c r="A5" s="30" t="s">
        <v>7</v>
      </c>
      <c r="B5" s="30">
        <v>340</v>
      </c>
      <c r="C5" s="30">
        <v>1228</v>
      </c>
      <c r="D5" s="30">
        <v>1815</v>
      </c>
    </row>
    <row r="6" spans="1:4" ht="15.75" x14ac:dyDescent="0.25">
      <c r="A6" s="30" t="s">
        <v>8</v>
      </c>
      <c r="B6" s="30">
        <v>320</v>
      </c>
      <c r="C6" s="30">
        <v>873</v>
      </c>
      <c r="D6" s="30">
        <f>C6+D5</f>
        <v>2688</v>
      </c>
    </row>
    <row r="7" spans="1:4" ht="15.75" x14ac:dyDescent="0.25">
      <c r="A7" s="30" t="s">
        <v>9</v>
      </c>
      <c r="B7" s="30">
        <v>250</v>
      </c>
      <c r="C7" s="30">
        <v>805</v>
      </c>
      <c r="D7" s="31">
        <f>D6+C7</f>
        <v>3493</v>
      </c>
    </row>
    <row r="8" spans="1:4" ht="15.75" x14ac:dyDescent="0.25">
      <c r="A8" s="30" t="s">
        <v>10</v>
      </c>
      <c r="B8" s="30">
        <v>281</v>
      </c>
      <c r="C8" s="30">
        <v>1122</v>
      </c>
      <c r="D8" s="31">
        <f>D7+C8</f>
        <v>4615</v>
      </c>
    </row>
    <row r="9" spans="1:4" ht="15.75" x14ac:dyDescent="0.25">
      <c r="A9" s="30" t="s">
        <v>204</v>
      </c>
      <c r="B9" s="30">
        <v>297</v>
      </c>
      <c r="C9" s="30">
        <v>736</v>
      </c>
      <c r="D9" s="31">
        <f>D8+C9</f>
        <v>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535D-21FB-4B58-A8DD-F27CB281E1B3}">
  <dimension ref="A1:B10"/>
  <sheetViews>
    <sheetView workbookViewId="0">
      <selection activeCell="B6" sqref="B6"/>
    </sheetView>
  </sheetViews>
  <sheetFormatPr defaultRowHeight="15" x14ac:dyDescent="0.25"/>
  <cols>
    <col min="1" max="1" width="23.7109375" customWidth="1"/>
    <col min="2" max="2" width="60" customWidth="1"/>
  </cols>
  <sheetData>
    <row r="1" spans="1:2" ht="15.75" thickBot="1" x14ac:dyDescent="0.3">
      <c r="A1" s="1" t="s">
        <v>11</v>
      </c>
      <c r="B1" s="2" t="s">
        <v>12</v>
      </c>
    </row>
    <row r="2" spans="1:2" ht="16.5" thickBot="1" x14ac:dyDescent="0.3">
      <c r="A2" s="3" t="s">
        <v>13</v>
      </c>
      <c r="B2" s="4" t="s">
        <v>14</v>
      </c>
    </row>
    <row r="3" spans="1:2" ht="16.5" thickBot="1" x14ac:dyDescent="0.3">
      <c r="A3" s="5" t="s">
        <v>15</v>
      </c>
      <c r="B3" s="6" t="s">
        <v>16</v>
      </c>
    </row>
    <row r="4" spans="1:2" ht="16.5" thickBot="1" x14ac:dyDescent="0.3">
      <c r="A4" s="7" t="s">
        <v>17</v>
      </c>
      <c r="B4" s="4" t="s">
        <v>18</v>
      </c>
    </row>
    <row r="5" spans="1:2" ht="32.25" thickBot="1" x14ac:dyDescent="0.3">
      <c r="A5" s="5" t="s">
        <v>19</v>
      </c>
      <c r="B5" s="6" t="s">
        <v>208</v>
      </c>
    </row>
    <row r="6" spans="1:2" ht="16.5" thickBot="1" x14ac:dyDescent="0.3">
      <c r="A6" s="7" t="s">
        <v>20</v>
      </c>
      <c r="B6" s="4" t="s">
        <v>205</v>
      </c>
    </row>
    <row r="7" spans="1:2" ht="32.25" thickBot="1" x14ac:dyDescent="0.3">
      <c r="A7" s="5" t="s">
        <v>21</v>
      </c>
      <c r="B7" s="6" t="s">
        <v>206</v>
      </c>
    </row>
    <row r="8" spans="1:2" ht="16.5" thickBot="1" x14ac:dyDescent="0.3">
      <c r="A8" s="7" t="s">
        <v>22</v>
      </c>
      <c r="B8" s="4" t="s">
        <v>207</v>
      </c>
    </row>
    <row r="9" spans="1:2" ht="16.5" thickBot="1" x14ac:dyDescent="0.3">
      <c r="A9" s="5" t="s">
        <v>23</v>
      </c>
      <c r="B9" s="6" t="s">
        <v>24</v>
      </c>
    </row>
    <row r="10" spans="1:2" ht="16.5" thickBot="1" x14ac:dyDescent="0.3">
      <c r="A10" s="7" t="s">
        <v>25</v>
      </c>
      <c r="B10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7ACF-216A-4C43-82E3-F1E9ECF11B39}">
  <dimension ref="A1:C10"/>
  <sheetViews>
    <sheetView workbookViewId="0">
      <selection activeCell="C8" sqref="C8"/>
    </sheetView>
  </sheetViews>
  <sheetFormatPr defaultRowHeight="15" x14ac:dyDescent="0.25"/>
  <cols>
    <col min="1" max="1" width="24.5703125" customWidth="1"/>
    <col min="2" max="2" width="29" customWidth="1"/>
    <col min="3" max="3" width="41.140625" customWidth="1"/>
  </cols>
  <sheetData>
    <row r="1" spans="1:3" ht="32.25" thickBot="1" x14ac:dyDescent="0.3">
      <c r="A1" s="19" t="s">
        <v>27</v>
      </c>
      <c r="B1" s="20" t="s">
        <v>28</v>
      </c>
      <c r="C1" s="21" t="s">
        <v>29</v>
      </c>
    </row>
    <row r="2" spans="1:3" ht="63.75" thickBot="1" x14ac:dyDescent="0.3">
      <c r="A2" s="23" t="s">
        <v>30</v>
      </c>
      <c r="B2" s="22" t="s">
        <v>212</v>
      </c>
      <c r="C2" s="24" t="s">
        <v>214</v>
      </c>
    </row>
    <row r="3" spans="1:3" ht="63.75" thickBot="1" x14ac:dyDescent="0.3">
      <c r="A3" s="23" t="s">
        <v>31</v>
      </c>
      <c r="B3" s="22" t="s">
        <v>213</v>
      </c>
      <c r="C3" s="24" t="s">
        <v>215</v>
      </c>
    </row>
    <row r="4" spans="1:3" ht="48" thickBot="1" x14ac:dyDescent="0.3">
      <c r="A4" s="23" t="s">
        <v>32</v>
      </c>
      <c r="B4" s="22" t="s">
        <v>44</v>
      </c>
      <c r="C4" s="24" t="s">
        <v>33</v>
      </c>
    </row>
    <row r="5" spans="1:3" ht="47.25" x14ac:dyDescent="0.25">
      <c r="A5" s="25" t="s">
        <v>34</v>
      </c>
      <c r="B5" s="26" t="s">
        <v>35</v>
      </c>
      <c r="C5" s="27" t="s">
        <v>216</v>
      </c>
    </row>
    <row r="6" spans="1:3" ht="47.25" x14ac:dyDescent="0.25">
      <c r="A6" s="28" t="s">
        <v>36</v>
      </c>
      <c r="B6" s="28" t="s">
        <v>44</v>
      </c>
      <c r="C6" s="28" t="s">
        <v>37</v>
      </c>
    </row>
    <row r="7" spans="1:3" ht="31.5" x14ac:dyDescent="0.25">
      <c r="A7" s="28" t="s">
        <v>38</v>
      </c>
      <c r="B7" s="28" t="s">
        <v>211</v>
      </c>
      <c r="C7" s="28" t="s">
        <v>217</v>
      </c>
    </row>
    <row r="8" spans="1:3" ht="15.75" x14ac:dyDescent="0.25">
      <c r="A8" s="28" t="s">
        <v>39</v>
      </c>
      <c r="B8" s="28" t="s">
        <v>44</v>
      </c>
      <c r="C8" s="28" t="s">
        <v>40</v>
      </c>
    </row>
    <row r="9" spans="1:3" ht="31.5" x14ac:dyDescent="0.25">
      <c r="A9" s="28" t="s">
        <v>41</v>
      </c>
      <c r="B9" s="28" t="s">
        <v>44</v>
      </c>
      <c r="C9" s="28" t="s">
        <v>42</v>
      </c>
    </row>
    <row r="10" spans="1:3" ht="15.75" x14ac:dyDescent="0.25">
      <c r="A10" s="28" t="s">
        <v>43</v>
      </c>
      <c r="B10" s="28" t="s">
        <v>44</v>
      </c>
      <c r="C1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9115-1CD0-4934-BDF4-4937A2D87F36}">
  <dimension ref="A1:C3"/>
  <sheetViews>
    <sheetView workbookViewId="0">
      <selection activeCell="B4" sqref="B4"/>
    </sheetView>
  </sheetViews>
  <sheetFormatPr defaultRowHeight="15" x14ac:dyDescent="0.25"/>
  <cols>
    <col min="1" max="1" width="16.5703125" bestFit="1" customWidth="1"/>
  </cols>
  <sheetData>
    <row r="1" spans="1:3" x14ac:dyDescent="0.25">
      <c r="A1" t="s">
        <v>45</v>
      </c>
      <c r="B1" t="s">
        <v>46</v>
      </c>
      <c r="C1" t="s">
        <v>47</v>
      </c>
    </row>
    <row r="2" spans="1:3" x14ac:dyDescent="0.25">
      <c r="A2" t="s">
        <v>48</v>
      </c>
      <c r="B2">
        <v>1448.3</v>
      </c>
      <c r="C2" s="18">
        <v>1</v>
      </c>
    </row>
    <row r="3" spans="1:3" x14ac:dyDescent="0.25">
      <c r="A3" t="s">
        <v>209</v>
      </c>
      <c r="B3">
        <v>573.82000000000005</v>
      </c>
      <c r="C3" s="18">
        <f>B3/B2</f>
        <v>0.39620244424497691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ED7B-F217-445A-9C06-91034F503C5D}">
  <dimension ref="A1:D9"/>
  <sheetViews>
    <sheetView zoomScale="145" zoomScaleNormal="145" workbookViewId="0">
      <selection activeCell="C9" sqref="C9"/>
    </sheetView>
  </sheetViews>
  <sheetFormatPr defaultRowHeight="15" x14ac:dyDescent="0.25"/>
  <cols>
    <col min="1" max="1" width="27.7109375" customWidth="1"/>
    <col min="2" max="3" width="19.42578125" bestFit="1" customWidth="1"/>
    <col min="4" max="4" width="11.28515625" customWidth="1"/>
  </cols>
  <sheetData>
    <row r="1" spans="1:4" ht="30.75" thickBot="1" x14ac:dyDescent="0.3">
      <c r="A1" s="8" t="s">
        <v>49</v>
      </c>
      <c r="B1" s="9" t="s">
        <v>50</v>
      </c>
      <c r="C1" s="9" t="s">
        <v>51</v>
      </c>
      <c r="D1" s="9" t="s">
        <v>52</v>
      </c>
    </row>
    <row r="2" spans="1:4" x14ac:dyDescent="0.25">
      <c r="A2" s="10" t="s">
        <v>53</v>
      </c>
      <c r="B2" s="11">
        <v>1200</v>
      </c>
      <c r="C2" s="11">
        <v>792</v>
      </c>
      <c r="D2" s="11">
        <f>B2-C2</f>
        <v>408</v>
      </c>
    </row>
    <row r="3" spans="1:4" x14ac:dyDescent="0.25">
      <c r="A3" s="10" t="s">
        <v>54</v>
      </c>
      <c r="B3" s="11">
        <v>400</v>
      </c>
      <c r="C3" s="11">
        <v>227</v>
      </c>
      <c r="D3" s="11">
        <f t="shared" ref="D3:D8" si="0">B3-C3</f>
        <v>173</v>
      </c>
    </row>
    <row r="4" spans="1:4" x14ac:dyDescent="0.25">
      <c r="A4" s="10" t="s">
        <v>55</v>
      </c>
      <c r="B4" s="12">
        <v>400</v>
      </c>
      <c r="C4" s="12">
        <v>257</v>
      </c>
      <c r="D4" s="11">
        <f t="shared" si="0"/>
        <v>143</v>
      </c>
    </row>
    <row r="5" spans="1:4" x14ac:dyDescent="0.25">
      <c r="A5" s="10" t="s">
        <v>56</v>
      </c>
      <c r="B5" s="12">
        <v>400</v>
      </c>
      <c r="C5" s="12">
        <v>301</v>
      </c>
      <c r="D5" s="11">
        <f t="shared" si="0"/>
        <v>99</v>
      </c>
    </row>
    <row r="6" spans="1:4" x14ac:dyDescent="0.25">
      <c r="A6" s="10" t="s">
        <v>57</v>
      </c>
      <c r="B6" s="12">
        <v>250</v>
      </c>
      <c r="C6" s="12">
        <v>199</v>
      </c>
      <c r="D6" s="11">
        <f t="shared" si="0"/>
        <v>51</v>
      </c>
    </row>
    <row r="7" spans="1:4" x14ac:dyDescent="0.25">
      <c r="A7" s="10" t="s">
        <v>58</v>
      </c>
      <c r="B7" s="12">
        <v>100</v>
      </c>
      <c r="C7" s="12">
        <v>76</v>
      </c>
      <c r="D7" s="11">
        <f t="shared" si="0"/>
        <v>24</v>
      </c>
    </row>
    <row r="8" spans="1:4" x14ac:dyDescent="0.25">
      <c r="A8" s="10" t="s">
        <v>59</v>
      </c>
      <c r="B8" s="12">
        <v>100</v>
      </c>
      <c r="C8" s="12">
        <v>69</v>
      </c>
      <c r="D8" s="11">
        <f t="shared" si="0"/>
        <v>31</v>
      </c>
    </row>
    <row r="9" spans="1:4" ht="15.75" thickBot="1" x14ac:dyDescent="0.3">
      <c r="A9" s="10" t="s">
        <v>60</v>
      </c>
      <c r="B9" s="12">
        <f>SUM(B2:B8)</f>
        <v>2850</v>
      </c>
      <c r="C9" s="12">
        <f>SUM(C2:C8)</f>
        <v>1921</v>
      </c>
      <c r="D9" s="12">
        <f>SUM(D2:D8)</f>
        <v>929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703F-939A-4FE6-A55F-3284F68BDE73}">
  <dimension ref="A1"/>
  <sheetViews>
    <sheetView workbookViewId="0">
      <selection activeCell="H9" sqref="H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E3DB-D54A-4C9B-8DF9-428C70D3A6F3}">
  <dimension ref="A1:W303"/>
  <sheetViews>
    <sheetView zoomScale="166" zoomScaleNormal="110"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6" bestFit="1" customWidth="1"/>
    <col min="2" max="2" width="8.85546875" bestFit="1" customWidth="1"/>
    <col min="3" max="3" width="23.5703125" bestFit="1" customWidth="1"/>
    <col min="4" max="4" width="20.7109375" customWidth="1"/>
    <col min="5" max="5" width="14.7109375" customWidth="1"/>
    <col min="6" max="6" width="17" customWidth="1"/>
    <col min="7" max="7" width="14" customWidth="1"/>
    <col min="8" max="8" width="11" customWidth="1"/>
    <col min="23" max="23" width="2.7109375" bestFit="1" customWidth="1"/>
  </cols>
  <sheetData>
    <row r="1" spans="1:12" s="39" customFormat="1" ht="42.75" customHeight="1" x14ac:dyDescent="0.25">
      <c r="A1" s="37" t="s">
        <v>61</v>
      </c>
      <c r="B1" s="37" t="s">
        <v>62</v>
      </c>
      <c r="C1" s="37" t="s">
        <v>63</v>
      </c>
      <c r="D1" s="37" t="s">
        <v>64</v>
      </c>
      <c r="E1" s="37" t="s">
        <v>65</v>
      </c>
      <c r="F1" s="37" t="s">
        <v>66</v>
      </c>
      <c r="G1" s="37" t="s">
        <v>67</v>
      </c>
      <c r="H1" s="37" t="s">
        <v>68</v>
      </c>
      <c r="I1" s="39" t="s">
        <v>69</v>
      </c>
      <c r="J1" s="39" t="s">
        <v>70</v>
      </c>
      <c r="K1" s="39" t="s">
        <v>71</v>
      </c>
      <c r="L1" s="39" t="s">
        <v>72</v>
      </c>
    </row>
    <row r="2" spans="1:12" ht="15.75" x14ac:dyDescent="0.25">
      <c r="A2" s="35" t="s">
        <v>73</v>
      </c>
      <c r="B2" s="35" t="s">
        <v>74</v>
      </c>
      <c r="C2" s="35" t="s">
        <v>75</v>
      </c>
      <c r="D2" s="35" t="s">
        <v>76</v>
      </c>
      <c r="E2" s="35" t="s">
        <v>77</v>
      </c>
      <c r="F2" s="35" t="s">
        <v>78</v>
      </c>
      <c r="G2" s="35" t="s">
        <v>79</v>
      </c>
      <c r="H2" s="35" t="s">
        <v>79</v>
      </c>
    </row>
    <row r="3" spans="1:12" ht="15.75" x14ac:dyDescent="0.25">
      <c r="A3" s="35" t="s">
        <v>80</v>
      </c>
      <c r="B3" s="35" t="s">
        <v>81</v>
      </c>
      <c r="C3" s="35" t="s">
        <v>82</v>
      </c>
      <c r="D3" s="35" t="s">
        <v>78</v>
      </c>
      <c r="E3" s="35" t="s">
        <v>83</v>
      </c>
      <c r="F3" s="35" t="s">
        <v>83</v>
      </c>
      <c r="G3" s="35" t="s">
        <v>84</v>
      </c>
      <c r="H3" s="35" t="s">
        <v>85</v>
      </c>
    </row>
    <row r="4" spans="1:12" ht="15.75" x14ac:dyDescent="0.25">
      <c r="A4" s="35" t="s">
        <v>80</v>
      </c>
      <c r="B4" s="35" t="s">
        <v>86</v>
      </c>
      <c r="C4" s="35" t="s">
        <v>87</v>
      </c>
      <c r="D4" s="35" t="s">
        <v>88</v>
      </c>
      <c r="E4" s="35" t="s">
        <v>89</v>
      </c>
      <c r="F4" s="35" t="s">
        <v>89</v>
      </c>
      <c r="G4" s="35" t="s">
        <v>79</v>
      </c>
      <c r="H4" s="35" t="s">
        <v>90</v>
      </c>
    </row>
    <row r="5" spans="1:12" ht="15.75" x14ac:dyDescent="0.25">
      <c r="A5" s="35" t="s">
        <v>91</v>
      </c>
      <c r="B5" s="35" t="s">
        <v>92</v>
      </c>
      <c r="C5" s="35" t="s">
        <v>93</v>
      </c>
      <c r="D5" s="35" t="s">
        <v>94</v>
      </c>
      <c r="E5" s="35" t="s">
        <v>95</v>
      </c>
      <c r="F5" s="35" t="s">
        <v>96</v>
      </c>
      <c r="G5" s="35" t="s">
        <v>76</v>
      </c>
      <c r="H5" s="35" t="s">
        <v>97</v>
      </c>
    </row>
    <row r="6" spans="1:12" ht="15.75" x14ac:dyDescent="0.25">
      <c r="A6" s="35" t="s">
        <v>98</v>
      </c>
      <c r="B6" s="35" t="s">
        <v>99</v>
      </c>
      <c r="C6" s="35" t="s">
        <v>100</v>
      </c>
      <c r="D6" s="35" t="s">
        <v>101</v>
      </c>
      <c r="E6" s="35" t="s">
        <v>102</v>
      </c>
      <c r="F6" s="35" t="s">
        <v>73</v>
      </c>
      <c r="G6" s="35" t="s">
        <v>103</v>
      </c>
      <c r="H6" s="35" t="s">
        <v>80</v>
      </c>
    </row>
    <row r="7" spans="1:12" ht="15.75" x14ac:dyDescent="0.25">
      <c r="A7" s="35" t="s">
        <v>84</v>
      </c>
      <c r="B7" s="35" t="s">
        <v>104</v>
      </c>
      <c r="C7" s="35" t="s">
        <v>105</v>
      </c>
      <c r="D7" s="35" t="s">
        <v>106</v>
      </c>
      <c r="E7" s="35" t="s">
        <v>107</v>
      </c>
      <c r="F7" s="35" t="s">
        <v>91</v>
      </c>
      <c r="G7" s="35" t="s">
        <v>107</v>
      </c>
      <c r="H7" s="35" t="s">
        <v>91</v>
      </c>
    </row>
    <row r="8" spans="1:12" ht="15.75" x14ac:dyDescent="0.25">
      <c r="A8" s="35" t="s">
        <v>83</v>
      </c>
      <c r="B8" s="35" t="s">
        <v>108</v>
      </c>
      <c r="C8" s="35" t="s">
        <v>109</v>
      </c>
      <c r="D8" s="35" t="s">
        <v>110</v>
      </c>
      <c r="E8" s="35" t="s">
        <v>110</v>
      </c>
      <c r="F8" s="35" t="s">
        <v>111</v>
      </c>
      <c r="G8" s="35" t="s">
        <v>110</v>
      </c>
      <c r="H8" s="35" t="s">
        <v>111</v>
      </c>
    </row>
    <row r="9" spans="1:12" ht="15.75" x14ac:dyDescent="0.25">
      <c r="A9" s="35" t="s">
        <v>85</v>
      </c>
      <c r="B9" s="35" t="s">
        <v>112</v>
      </c>
      <c r="C9" s="35" t="s">
        <v>113</v>
      </c>
      <c r="D9" s="35" t="s">
        <v>114</v>
      </c>
      <c r="E9" s="35" t="s">
        <v>115</v>
      </c>
      <c r="F9" s="35" t="s">
        <v>115</v>
      </c>
      <c r="G9" s="35" t="s">
        <v>85</v>
      </c>
      <c r="H9" s="35" t="s">
        <v>116</v>
      </c>
    </row>
    <row r="10" spans="1:12" ht="15.75" x14ac:dyDescent="0.25">
      <c r="A10" s="35" t="s">
        <v>117</v>
      </c>
      <c r="B10" s="35" t="s">
        <v>118</v>
      </c>
      <c r="C10" s="35" t="s">
        <v>119</v>
      </c>
      <c r="D10" s="35" t="s">
        <v>114</v>
      </c>
      <c r="E10" s="35" t="s">
        <v>111</v>
      </c>
      <c r="F10" s="35" t="s">
        <v>114</v>
      </c>
      <c r="G10" s="35" t="s">
        <v>111</v>
      </c>
      <c r="H10" s="35" t="s">
        <v>114</v>
      </c>
    </row>
    <row r="11" spans="1:12" ht="15.75" x14ac:dyDescent="0.25">
      <c r="A11" s="35" t="s">
        <v>120</v>
      </c>
      <c r="B11" s="35" t="s">
        <v>121</v>
      </c>
      <c r="C11" s="38" t="s">
        <v>122</v>
      </c>
      <c r="D11" s="38" t="s">
        <v>123</v>
      </c>
      <c r="E11" s="38" t="s">
        <v>111</v>
      </c>
      <c r="F11" s="38" t="s">
        <v>123</v>
      </c>
      <c r="G11" s="38" t="s">
        <v>111</v>
      </c>
      <c r="H11" s="38" t="s">
        <v>123</v>
      </c>
    </row>
    <row r="12" spans="1:12" ht="15.75" x14ac:dyDescent="0.25">
      <c r="A12" s="35" t="s">
        <v>110</v>
      </c>
      <c r="B12" s="35" t="s">
        <v>124</v>
      </c>
      <c r="C12" s="38" t="s">
        <v>125</v>
      </c>
      <c r="D12" s="38" t="s">
        <v>83</v>
      </c>
      <c r="E12" s="38" t="s">
        <v>111</v>
      </c>
      <c r="F12" s="38" t="s">
        <v>83</v>
      </c>
      <c r="G12" s="38" t="s">
        <v>111</v>
      </c>
      <c r="H12" s="38" t="s">
        <v>83</v>
      </c>
    </row>
    <row r="13" spans="1:12" ht="15.75" x14ac:dyDescent="0.25">
      <c r="A13" s="35" t="s">
        <v>115</v>
      </c>
      <c r="B13" s="35" t="s">
        <v>126</v>
      </c>
      <c r="C13" s="38" t="s">
        <v>127</v>
      </c>
      <c r="D13" s="38" t="s">
        <v>80</v>
      </c>
      <c r="E13" s="38" t="s">
        <v>73</v>
      </c>
      <c r="F13" s="38" t="s">
        <v>73</v>
      </c>
      <c r="G13" s="38" t="s">
        <v>73</v>
      </c>
      <c r="H13" s="38" t="s">
        <v>73</v>
      </c>
    </row>
    <row r="14" spans="1:12" ht="15.75" x14ac:dyDescent="0.25">
      <c r="A14" s="35" t="s">
        <v>78</v>
      </c>
      <c r="B14" s="35" t="s">
        <v>128</v>
      </c>
      <c r="C14" s="35" t="s">
        <v>129</v>
      </c>
      <c r="D14" s="35" t="s">
        <v>103</v>
      </c>
      <c r="E14" s="35" t="s">
        <v>79</v>
      </c>
      <c r="F14" s="35" t="s">
        <v>107</v>
      </c>
      <c r="G14" s="35" t="s">
        <v>79</v>
      </c>
      <c r="H14" s="35" t="s">
        <v>107</v>
      </c>
    </row>
    <row r="15" spans="1:12" ht="15.75" x14ac:dyDescent="0.25">
      <c r="A15" s="35" t="s">
        <v>79</v>
      </c>
      <c r="B15" s="35" t="s">
        <v>130</v>
      </c>
      <c r="C15" s="35" t="s">
        <v>131</v>
      </c>
      <c r="D15" s="35" t="s">
        <v>132</v>
      </c>
      <c r="E15" s="35" t="s">
        <v>83</v>
      </c>
      <c r="F15" s="35" t="s">
        <v>101</v>
      </c>
      <c r="G15" s="35" t="s">
        <v>83</v>
      </c>
      <c r="H15" s="35" t="s">
        <v>101</v>
      </c>
    </row>
    <row r="16" spans="1:12" ht="15.75" x14ac:dyDescent="0.25">
      <c r="A16" s="35" t="s">
        <v>77</v>
      </c>
      <c r="B16" s="35" t="s">
        <v>133</v>
      </c>
      <c r="C16" s="38" t="s">
        <v>134</v>
      </c>
      <c r="D16" s="38" t="s">
        <v>96</v>
      </c>
      <c r="E16" s="38" t="s">
        <v>78</v>
      </c>
      <c r="F16" s="38" t="s">
        <v>135</v>
      </c>
      <c r="G16" s="38" t="s">
        <v>78</v>
      </c>
      <c r="H16" s="38" t="s">
        <v>135</v>
      </c>
    </row>
    <row r="17" spans="1:8" ht="15.75" x14ac:dyDescent="0.25">
      <c r="A17" s="35" t="s">
        <v>116</v>
      </c>
      <c r="B17" s="35" t="s">
        <v>136</v>
      </c>
      <c r="C17" s="38" t="s">
        <v>137</v>
      </c>
      <c r="D17" s="38" t="s">
        <v>138</v>
      </c>
      <c r="E17" s="38" t="s">
        <v>139</v>
      </c>
      <c r="F17" s="38" t="s">
        <v>140</v>
      </c>
      <c r="G17" s="38" t="s">
        <v>106</v>
      </c>
      <c r="H17" s="38" t="s">
        <v>141</v>
      </c>
    </row>
    <row r="18" spans="1:8" ht="15.75" x14ac:dyDescent="0.25">
      <c r="A18" s="35" t="s">
        <v>142</v>
      </c>
      <c r="B18" s="35" t="s">
        <v>143</v>
      </c>
      <c r="C18" s="35" t="s">
        <v>144</v>
      </c>
      <c r="D18" s="35" t="s">
        <v>117</v>
      </c>
      <c r="E18" s="35" t="s">
        <v>117</v>
      </c>
      <c r="F18" s="35" t="s">
        <v>111</v>
      </c>
      <c r="G18" s="35" t="s">
        <v>117</v>
      </c>
      <c r="H18" s="35" t="s">
        <v>111</v>
      </c>
    </row>
    <row r="19" spans="1:8" ht="31.5" x14ac:dyDescent="0.25">
      <c r="A19" s="35" t="s">
        <v>107</v>
      </c>
      <c r="B19" s="35" t="s">
        <v>145</v>
      </c>
      <c r="C19" s="35" t="s">
        <v>146</v>
      </c>
      <c r="D19" s="35" t="s">
        <v>147</v>
      </c>
      <c r="E19" s="35" t="s">
        <v>84</v>
      </c>
      <c r="F19" s="35" t="s">
        <v>77</v>
      </c>
      <c r="G19" s="35" t="s">
        <v>91</v>
      </c>
      <c r="H19" s="35" t="s">
        <v>142</v>
      </c>
    </row>
    <row r="20" spans="1:8" ht="15.75" x14ac:dyDescent="0.25">
      <c r="A20" s="35" t="s">
        <v>147</v>
      </c>
      <c r="B20" s="35" t="s">
        <v>148</v>
      </c>
      <c r="C20" s="35" t="s">
        <v>149</v>
      </c>
      <c r="D20" s="35" t="s">
        <v>83</v>
      </c>
      <c r="E20" s="35" t="s">
        <v>73</v>
      </c>
      <c r="F20" s="35" t="s">
        <v>84</v>
      </c>
      <c r="G20" s="35" t="s">
        <v>111</v>
      </c>
      <c r="H20" s="35" t="s">
        <v>83</v>
      </c>
    </row>
    <row r="21" spans="1:8" ht="15.75" x14ac:dyDescent="0.25">
      <c r="A21" s="35" t="s">
        <v>106</v>
      </c>
      <c r="B21" s="35" t="s">
        <v>150</v>
      </c>
      <c r="C21" s="35" t="s">
        <v>151</v>
      </c>
      <c r="D21" s="35" t="s">
        <v>123</v>
      </c>
      <c r="E21" s="35" t="s">
        <v>106</v>
      </c>
      <c r="F21" s="35" t="s">
        <v>152</v>
      </c>
      <c r="G21" s="35" t="s">
        <v>111</v>
      </c>
      <c r="H21" s="35" t="s">
        <v>123</v>
      </c>
    </row>
    <row r="22" spans="1:8" ht="15.75" x14ac:dyDescent="0.25">
      <c r="A22" s="36"/>
      <c r="B22" s="36"/>
      <c r="C22" s="37" t="s">
        <v>64</v>
      </c>
      <c r="D22" s="37" t="s">
        <v>153</v>
      </c>
      <c r="E22" s="37" t="s">
        <v>154</v>
      </c>
      <c r="F22" s="37" t="s">
        <v>155</v>
      </c>
      <c r="G22" s="37" t="s">
        <v>156</v>
      </c>
      <c r="H22" s="37" t="s">
        <v>157</v>
      </c>
    </row>
    <row r="23" spans="1:8" ht="31.5" hidden="1" x14ac:dyDescent="0.25">
      <c r="A23" s="33"/>
      <c r="B23" s="33"/>
      <c r="C23" s="34" t="s">
        <v>158</v>
      </c>
      <c r="D23" s="33"/>
      <c r="E23" s="34" t="s">
        <v>159</v>
      </c>
      <c r="F23" s="34" t="s">
        <v>160</v>
      </c>
      <c r="G23" s="34" t="s">
        <v>161</v>
      </c>
      <c r="H23" s="34" t="s">
        <v>162</v>
      </c>
    </row>
    <row r="303" spans="23:23" x14ac:dyDescent="0.25">
      <c r="W303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201E-24F7-4C61-8302-831552FAC820}">
  <dimension ref="A1:J31"/>
  <sheetViews>
    <sheetView tabSelected="1" workbookViewId="0">
      <selection activeCell="G13" sqref="G13"/>
    </sheetView>
  </sheetViews>
  <sheetFormatPr defaultRowHeight="15" x14ac:dyDescent="0.25"/>
  <cols>
    <col min="2" max="2" width="14.85546875" bestFit="1" customWidth="1"/>
    <col min="3" max="3" width="14.85546875" customWidth="1"/>
    <col min="4" max="4" width="17.5703125" bestFit="1" customWidth="1"/>
    <col min="5" max="5" width="16.5703125" bestFit="1" customWidth="1"/>
    <col min="6" max="6" width="22.42578125" bestFit="1" customWidth="1"/>
    <col min="7" max="7" width="27.7109375" bestFit="1" customWidth="1"/>
    <col min="8" max="8" width="19" bestFit="1" customWidth="1"/>
    <col min="10" max="10" width="20.42578125" customWidth="1"/>
  </cols>
  <sheetData>
    <row r="1" spans="1:10" x14ac:dyDescent="0.25">
      <c r="A1" s="42" t="s">
        <v>164</v>
      </c>
      <c r="B1" s="42" t="s">
        <v>165</v>
      </c>
      <c r="C1" s="42" t="s">
        <v>246</v>
      </c>
      <c r="D1" s="42" t="s">
        <v>166</v>
      </c>
      <c r="E1" s="42" t="s">
        <v>167</v>
      </c>
      <c r="F1" s="42" t="s">
        <v>168</v>
      </c>
      <c r="G1" s="42" t="s">
        <v>169</v>
      </c>
      <c r="H1" s="42" t="s">
        <v>247</v>
      </c>
      <c r="I1" s="42" t="s">
        <v>244</v>
      </c>
      <c r="J1" s="42" t="s">
        <v>245</v>
      </c>
    </row>
    <row r="2" spans="1:10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x14ac:dyDescent="0.25">
      <c r="A4" s="32">
        <v>1</v>
      </c>
      <c r="B4" s="32" t="s">
        <v>170</v>
      </c>
      <c r="C4" s="32">
        <v>1</v>
      </c>
      <c r="D4" s="32" t="s">
        <v>171</v>
      </c>
      <c r="E4" s="32">
        <v>11</v>
      </c>
      <c r="F4" s="32" t="s">
        <v>172</v>
      </c>
      <c r="G4" s="32" t="s">
        <v>173</v>
      </c>
      <c r="H4" s="41">
        <v>1</v>
      </c>
      <c r="I4" s="41">
        <v>1</v>
      </c>
      <c r="J4" s="41">
        <v>0</v>
      </c>
    </row>
    <row r="5" spans="1:10" x14ac:dyDescent="0.25">
      <c r="A5" s="32">
        <v>2</v>
      </c>
      <c r="B5" s="32" t="s">
        <v>174</v>
      </c>
      <c r="C5" s="32">
        <v>2</v>
      </c>
      <c r="D5" s="32" t="s">
        <v>175</v>
      </c>
      <c r="E5" s="32">
        <v>11</v>
      </c>
      <c r="F5" s="32" t="s">
        <v>218</v>
      </c>
      <c r="G5" s="32" t="s">
        <v>210</v>
      </c>
      <c r="H5" s="41">
        <v>2</v>
      </c>
      <c r="I5" s="41">
        <v>2</v>
      </c>
      <c r="J5" s="41">
        <v>0</v>
      </c>
    </row>
    <row r="6" spans="1:10" x14ac:dyDescent="0.25">
      <c r="A6" s="32">
        <v>3</v>
      </c>
      <c r="B6" s="32" t="s">
        <v>176</v>
      </c>
      <c r="C6" s="32">
        <v>2</v>
      </c>
      <c r="D6" s="32" t="s">
        <v>177</v>
      </c>
      <c r="E6" s="32">
        <v>11</v>
      </c>
      <c r="F6" s="32" t="s">
        <v>218</v>
      </c>
      <c r="G6" s="32" t="s">
        <v>178</v>
      </c>
      <c r="H6" s="41">
        <v>1</v>
      </c>
      <c r="I6" s="41">
        <v>1</v>
      </c>
      <c r="J6" s="41">
        <v>0</v>
      </c>
    </row>
    <row r="7" spans="1:10" x14ac:dyDescent="0.25">
      <c r="A7" s="32">
        <v>4</v>
      </c>
      <c r="B7" s="32" t="s">
        <v>179</v>
      </c>
      <c r="C7" s="32">
        <v>2</v>
      </c>
      <c r="D7" s="32" t="s">
        <v>180</v>
      </c>
      <c r="E7" s="32">
        <v>11</v>
      </c>
      <c r="F7" s="32" t="s">
        <v>218</v>
      </c>
      <c r="G7" s="32" t="s">
        <v>249</v>
      </c>
      <c r="H7" s="41">
        <v>2</v>
      </c>
      <c r="I7" s="41">
        <v>1</v>
      </c>
      <c r="J7" s="41">
        <v>0</v>
      </c>
    </row>
    <row r="8" spans="1:10" x14ac:dyDescent="0.25">
      <c r="A8" s="32">
        <v>5</v>
      </c>
      <c r="B8" s="32" t="s">
        <v>181</v>
      </c>
      <c r="C8" s="32">
        <v>3</v>
      </c>
      <c r="D8" s="32" t="s">
        <v>182</v>
      </c>
      <c r="E8" s="32">
        <v>11</v>
      </c>
      <c r="F8" s="32"/>
      <c r="G8" s="32"/>
      <c r="H8" s="41">
        <v>3</v>
      </c>
      <c r="I8" s="41">
        <v>0</v>
      </c>
      <c r="J8" s="41">
        <v>0</v>
      </c>
    </row>
    <row r="9" spans="1:10" x14ac:dyDescent="0.25">
      <c r="A9" s="32"/>
      <c r="B9" s="44" t="s">
        <v>183</v>
      </c>
      <c r="C9" s="45"/>
      <c r="D9" s="45"/>
      <c r="E9" s="46"/>
      <c r="F9" s="32" t="s">
        <v>184</v>
      </c>
      <c r="G9" s="32"/>
      <c r="H9" s="41"/>
      <c r="I9" s="41"/>
      <c r="J9" s="41"/>
    </row>
    <row r="10" spans="1:10" x14ac:dyDescent="0.25">
      <c r="A10" s="32">
        <v>6</v>
      </c>
      <c r="B10" s="32" t="s">
        <v>185</v>
      </c>
      <c r="C10" s="32">
        <v>9</v>
      </c>
      <c r="D10" s="32" t="s">
        <v>186</v>
      </c>
      <c r="E10" s="32">
        <v>3.3</v>
      </c>
      <c r="F10" s="32"/>
      <c r="G10" s="32"/>
      <c r="H10" s="41">
        <v>9</v>
      </c>
      <c r="I10" s="41">
        <v>9</v>
      </c>
      <c r="J10" s="41">
        <v>0</v>
      </c>
    </row>
    <row r="11" spans="1:10" x14ac:dyDescent="0.25">
      <c r="A11" s="32">
        <v>7</v>
      </c>
      <c r="B11" s="32" t="s">
        <v>187</v>
      </c>
      <c r="C11" s="32">
        <v>1</v>
      </c>
      <c r="D11" s="32" t="s">
        <v>188</v>
      </c>
      <c r="E11" s="32">
        <v>3.3</v>
      </c>
      <c r="F11" s="32" t="s">
        <v>220</v>
      </c>
      <c r="G11" s="32" t="s">
        <v>221</v>
      </c>
      <c r="H11" s="41">
        <v>9</v>
      </c>
      <c r="I11" s="41">
        <v>9</v>
      </c>
      <c r="J11" s="41">
        <v>0</v>
      </c>
    </row>
    <row r="12" spans="1:10" x14ac:dyDescent="0.25">
      <c r="A12" s="32">
        <v>8</v>
      </c>
      <c r="B12" s="32" t="s">
        <v>189</v>
      </c>
      <c r="C12" s="32">
        <v>3</v>
      </c>
      <c r="D12" s="32" t="s">
        <v>190</v>
      </c>
      <c r="E12" s="32">
        <v>3.3</v>
      </c>
      <c r="F12" s="32" t="s">
        <v>219</v>
      </c>
      <c r="G12" s="32" t="s">
        <v>222</v>
      </c>
      <c r="H12" s="41">
        <v>3</v>
      </c>
      <c r="I12" s="41">
        <v>3</v>
      </c>
      <c r="J12" s="41">
        <v>0</v>
      </c>
    </row>
    <row r="13" spans="1:10" x14ac:dyDescent="0.25">
      <c r="A13" s="32">
        <v>9</v>
      </c>
      <c r="B13" s="32" t="s">
        <v>191</v>
      </c>
      <c r="C13" s="32">
        <v>3</v>
      </c>
      <c r="D13" s="32" t="s">
        <v>192</v>
      </c>
      <c r="E13" s="32">
        <v>3.3</v>
      </c>
      <c r="F13" s="32" t="s">
        <v>193</v>
      </c>
      <c r="G13" s="32" t="s">
        <v>223</v>
      </c>
      <c r="H13" s="41">
        <v>3</v>
      </c>
      <c r="I13" s="41">
        <v>3</v>
      </c>
      <c r="J13" s="41">
        <v>1</v>
      </c>
    </row>
    <row r="14" spans="1:10" x14ac:dyDescent="0.25">
      <c r="A14" s="32">
        <v>10</v>
      </c>
      <c r="B14" s="32" t="s">
        <v>194</v>
      </c>
      <c r="C14" s="32">
        <v>2</v>
      </c>
      <c r="D14" s="32" t="s">
        <v>195</v>
      </c>
      <c r="E14" s="32">
        <v>3.3</v>
      </c>
      <c r="F14" s="32"/>
      <c r="G14" s="32"/>
      <c r="H14" s="41">
        <v>2</v>
      </c>
      <c r="I14" s="41">
        <v>2</v>
      </c>
      <c r="J14" s="41">
        <v>0</v>
      </c>
    </row>
    <row r="15" spans="1:10" x14ac:dyDescent="0.25">
      <c r="A15" s="32">
        <v>11</v>
      </c>
      <c r="B15" s="32" t="s">
        <v>196</v>
      </c>
      <c r="C15" s="32">
        <v>2</v>
      </c>
      <c r="D15" s="32" t="s">
        <v>197</v>
      </c>
      <c r="E15" s="32">
        <v>3.3</v>
      </c>
      <c r="F15" s="32" t="s">
        <v>219</v>
      </c>
      <c r="G15" s="32" t="s">
        <v>224</v>
      </c>
      <c r="H15" s="41">
        <v>2</v>
      </c>
      <c r="I15" s="41">
        <v>2</v>
      </c>
      <c r="J15" s="41">
        <v>0</v>
      </c>
    </row>
    <row r="16" spans="1:10" x14ac:dyDescent="0.25">
      <c r="A16" s="32">
        <v>12</v>
      </c>
      <c r="B16" s="32" t="s">
        <v>198</v>
      </c>
      <c r="C16" s="32">
        <v>2</v>
      </c>
      <c r="D16" s="32" t="s">
        <v>199</v>
      </c>
      <c r="E16" s="32">
        <v>3.3</v>
      </c>
      <c r="F16" s="32"/>
      <c r="G16" s="32"/>
      <c r="H16" s="41">
        <v>2</v>
      </c>
      <c r="I16" s="41">
        <v>0</v>
      </c>
      <c r="J16" s="41">
        <v>0</v>
      </c>
    </row>
    <row r="17" spans="1:10" x14ac:dyDescent="0.25">
      <c r="A17" s="32">
        <v>13</v>
      </c>
      <c r="B17" s="32" t="s">
        <v>200</v>
      </c>
      <c r="C17" s="32">
        <v>2</v>
      </c>
      <c r="D17" s="32" t="s">
        <v>201</v>
      </c>
      <c r="E17" s="32">
        <v>3.3</v>
      </c>
      <c r="F17" s="32"/>
      <c r="G17" s="32"/>
      <c r="H17" s="41">
        <v>2</v>
      </c>
      <c r="I17" s="41">
        <v>2</v>
      </c>
      <c r="J17" s="41">
        <v>0</v>
      </c>
    </row>
    <row r="18" spans="1:10" x14ac:dyDescent="0.25">
      <c r="A18" s="32"/>
      <c r="B18" s="32" t="s">
        <v>202</v>
      </c>
      <c r="C18" s="32"/>
      <c r="D18" s="32"/>
      <c r="E18" s="32"/>
      <c r="F18" s="32" t="s">
        <v>203</v>
      </c>
      <c r="G18" s="32"/>
      <c r="H18" s="41"/>
      <c r="I18" s="41"/>
      <c r="J18" s="41"/>
    </row>
    <row r="19" spans="1:10" x14ac:dyDescent="0.25">
      <c r="A19" s="32"/>
      <c r="B19" s="32"/>
      <c r="G19" s="32"/>
      <c r="H19" s="41"/>
      <c r="I19" s="41"/>
      <c r="J19" s="41"/>
    </row>
    <row r="20" spans="1:10" x14ac:dyDescent="0.25">
      <c r="A20" s="32">
        <v>14</v>
      </c>
      <c r="B20" s="32" t="s">
        <v>225</v>
      </c>
      <c r="C20" s="32" t="s">
        <v>226</v>
      </c>
      <c r="G20" s="32"/>
      <c r="H20" s="41">
        <v>0</v>
      </c>
      <c r="I20" s="41">
        <v>0</v>
      </c>
      <c r="J20" s="41">
        <v>0</v>
      </c>
    </row>
    <row r="21" spans="1:10" x14ac:dyDescent="0.25">
      <c r="A21" s="32">
        <v>15</v>
      </c>
      <c r="B21" s="32" t="s">
        <v>227</v>
      </c>
      <c r="C21" s="32" t="s">
        <v>228</v>
      </c>
      <c r="G21" s="32"/>
      <c r="H21" s="41">
        <v>1</v>
      </c>
      <c r="I21" s="41">
        <v>1</v>
      </c>
      <c r="J21" s="41">
        <v>0</v>
      </c>
    </row>
    <row r="22" spans="1:10" x14ac:dyDescent="0.25">
      <c r="A22" s="32">
        <v>16</v>
      </c>
      <c r="B22" s="32" t="s">
        <v>229</v>
      </c>
      <c r="C22" s="32" t="s">
        <v>228</v>
      </c>
      <c r="G22" s="32"/>
      <c r="H22" s="41">
        <v>0</v>
      </c>
      <c r="I22" s="41">
        <v>0</v>
      </c>
      <c r="J22" s="41">
        <v>0</v>
      </c>
    </row>
    <row r="23" spans="1:10" x14ac:dyDescent="0.25">
      <c r="A23" s="32">
        <v>17</v>
      </c>
      <c r="B23" s="32" t="s">
        <v>238</v>
      </c>
      <c r="C23" s="32" t="s">
        <v>239</v>
      </c>
      <c r="G23" s="32" t="s">
        <v>248</v>
      </c>
      <c r="H23" s="41">
        <v>1</v>
      </c>
      <c r="I23" s="41">
        <v>1</v>
      </c>
      <c r="J23" s="41">
        <v>1</v>
      </c>
    </row>
    <row r="24" spans="1:10" x14ac:dyDescent="0.25">
      <c r="A24" s="32">
        <v>18</v>
      </c>
      <c r="B24" s="32" t="s">
        <v>230</v>
      </c>
      <c r="C24" s="32" t="s">
        <v>228</v>
      </c>
      <c r="G24" s="32"/>
      <c r="H24" s="41">
        <v>0</v>
      </c>
      <c r="I24" s="41">
        <v>0</v>
      </c>
      <c r="J24" s="41">
        <v>0</v>
      </c>
    </row>
    <row r="25" spans="1:10" x14ac:dyDescent="0.25">
      <c r="A25" s="32">
        <v>19</v>
      </c>
      <c r="B25" s="32" t="s">
        <v>231</v>
      </c>
      <c r="C25" s="32" t="s">
        <v>232</v>
      </c>
      <c r="G25" s="32"/>
      <c r="H25" s="32">
        <v>72</v>
      </c>
      <c r="I25" s="32">
        <v>27</v>
      </c>
      <c r="J25" s="32">
        <v>0</v>
      </c>
    </row>
    <row r="26" spans="1:10" x14ac:dyDescent="0.25">
      <c r="A26" s="32">
        <v>20</v>
      </c>
      <c r="B26" s="32" t="s">
        <v>233</v>
      </c>
      <c r="C26" s="32" t="s">
        <v>228</v>
      </c>
      <c r="G26" s="32"/>
      <c r="H26" s="32">
        <v>2</v>
      </c>
      <c r="I26" s="32">
        <v>2</v>
      </c>
      <c r="J26" s="32">
        <v>0</v>
      </c>
    </row>
    <row r="27" spans="1:10" x14ac:dyDescent="0.25">
      <c r="A27" s="32">
        <v>21</v>
      </c>
      <c r="B27" s="32" t="s">
        <v>234</v>
      </c>
      <c r="C27" s="32" t="s">
        <v>228</v>
      </c>
      <c r="G27" s="32"/>
      <c r="H27" s="32">
        <v>2</v>
      </c>
      <c r="I27" s="32">
        <v>2</v>
      </c>
      <c r="J27" s="32">
        <v>0</v>
      </c>
    </row>
    <row r="28" spans="1:10" x14ac:dyDescent="0.25">
      <c r="A28" s="32">
        <v>22</v>
      </c>
      <c r="B28" s="32" t="s">
        <v>235</v>
      </c>
      <c r="C28" s="32" t="s">
        <v>228</v>
      </c>
      <c r="G28" s="32"/>
      <c r="H28" s="32">
        <v>2</v>
      </c>
      <c r="I28" s="32">
        <v>1</v>
      </c>
      <c r="J28" s="32">
        <v>0</v>
      </c>
    </row>
    <row r="29" spans="1:10" x14ac:dyDescent="0.25">
      <c r="A29" s="32">
        <v>23</v>
      </c>
      <c r="B29" s="32" t="s">
        <v>236</v>
      </c>
      <c r="C29" s="32" t="s">
        <v>237</v>
      </c>
      <c r="G29" s="32"/>
      <c r="H29" s="32">
        <v>120</v>
      </c>
      <c r="I29" s="32">
        <v>120</v>
      </c>
      <c r="J29" s="32">
        <v>0</v>
      </c>
    </row>
    <row r="30" spans="1:10" x14ac:dyDescent="0.25">
      <c r="A30" s="32">
        <v>24</v>
      </c>
      <c r="B30" s="40" t="s">
        <v>240</v>
      </c>
      <c r="C30" s="32" t="s">
        <v>242</v>
      </c>
      <c r="G30" s="32"/>
      <c r="H30" s="32">
        <v>0</v>
      </c>
      <c r="I30" s="32">
        <v>0</v>
      </c>
      <c r="J30" s="32">
        <v>0</v>
      </c>
    </row>
    <row r="31" spans="1:10" x14ac:dyDescent="0.25">
      <c r="A31" s="32">
        <v>25</v>
      </c>
      <c r="B31" s="40" t="s">
        <v>241</v>
      </c>
      <c r="C31" s="32" t="s">
        <v>243</v>
      </c>
      <c r="G31" s="32"/>
      <c r="H31" s="32">
        <v>10</v>
      </c>
      <c r="I31" s="32">
        <v>4</v>
      </c>
      <c r="J31" s="32">
        <v>0</v>
      </c>
    </row>
  </sheetData>
  <mergeCells count="11">
    <mergeCell ref="A1:A3"/>
    <mergeCell ref="B1:B3"/>
    <mergeCell ref="D1:D3"/>
    <mergeCell ref="E1:E3"/>
    <mergeCell ref="I1:I3"/>
    <mergeCell ref="J1:J3"/>
    <mergeCell ref="C1:C3"/>
    <mergeCell ref="H1:H3"/>
    <mergeCell ref="B9:E9"/>
    <mergeCell ref="G1:G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 3</vt:lpstr>
      <vt:lpstr>Milestone</vt:lpstr>
      <vt:lpstr>Civil foundations</vt:lpstr>
      <vt:lpstr>Capex</vt:lpstr>
      <vt:lpstr>Manpower</vt:lpstr>
      <vt:lpstr>Chimney</vt:lpstr>
      <vt:lpstr>Boiler duct status</vt:lpstr>
      <vt:lpstr>Electrical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Abhilash Kaimal</dc:creator>
  <cp:keywords/>
  <dc:description/>
  <cp:lastModifiedBy>Abhilash Kaimal</cp:lastModifiedBy>
  <cp:revision/>
  <dcterms:created xsi:type="dcterms:W3CDTF">2026-07-18T14:02:58Z</dcterms:created>
  <dcterms:modified xsi:type="dcterms:W3CDTF">2026-10-19T10:20:10Z</dcterms:modified>
  <cp:category/>
  <cp:contentStatus/>
</cp:coreProperties>
</file>