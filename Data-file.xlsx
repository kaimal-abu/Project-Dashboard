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26" documentId="8_{3CAE69A3-AE5B-4257-93BE-F3BFAEF5261B}" xr6:coauthVersionLast="47" xr6:coauthVersionMax="47" xr10:uidLastSave="{8C5481BE-94AA-4250-BF80-5B8F05B61087}"/>
  <bookViews>
    <workbookView xWindow="-98" yWindow="-98" windowWidth="21795" windowHeight="12975" activeTab="5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<sst xmlns="http://schemas.openxmlformats.org/spreadsheetml/2006/main" count="314" uniqueCount="225">
  <si>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</si>
  <si>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</si>
  <si>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</si>
  <si>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</si>
  <si>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</si>
  <si>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</si>
  <si>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</si>
  <si>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</si>
  <si>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</si>
  <si>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</si>
  <si>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</si>
  <si>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</si>
  <si>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</si>
  <si>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</si>
  <si>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</si>
  <si>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</si>
  <si>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</si>
  <si>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</si>
  <si>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</si>
  <si>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</si>
  <si>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</si>
  <si>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</si>
  <si>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</si>
  <si>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</si>
  <si>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</si>
  <si>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</si>
  <si>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</si>
  <si>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</si>
  <si>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</si>
  <si>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</si>
  <si>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</si>
  <si>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FD/ID/PA 3B cable route-30.06.26/15.07.26/30.07.26/10.08.26/31.08.26/10.09.26/20.09.26/30.09.26</t>
  </si>
  <si>
    <t>LHS CER to ESP </t>
  </si>
  <si>
    <t>ID3A cable route-30.06.26/15.07.26/30.07.26/14.08.26/05.09.26/20.09.26/30.09.26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</si>
  <si>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</si>
  <si>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</si>
  <si>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</si>
  <si>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</si>
  <si>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</si>
  <si>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</si>
  <si>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ESP CR to ESP cablings – 30.07.26/14.08.26/31.08.26/10.09.26/25.09.26</t>
  </si>
  <si>
    <t>FD-3A</t>
  </si>
  <si>
    <t xml:space="preserve"> 30.08.26/30.09.26/15.10.26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</si>
  <si>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</si>
  <si>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</si>
  <si>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</si>
  <si>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</si>
  <si>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</si>
  <si>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</si>
  <si>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</si>
  <si>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</si>
  <si>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</si>
  <si>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</si>
  <si>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</si>
  <si>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</si>
  <si>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</si>
  <si>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</si>
  <si>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</si>
  <si>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</si>
  <si>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</si>
  <si>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</si>
  <si>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</si>
  <si>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</si>
  <si>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</si>
  <si>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</si>
  <si>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</si>
  <si>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</si>
  <si>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</si>
  <si>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</si>
  <si>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</si>
  <si>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</si>
  <si>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</si>
  <si>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</si>
  <si>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</si>
  <si>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</si>
  <si>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</si>
  <si>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</si>
  <si>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</si>
  <si>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</si>
  <si>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</si>
  <si>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</si>
  <si>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</si>
  <si>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</si>
  <si>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</si>
  <si>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</si>
  <si>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</si>
  <si>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</si>
  <si>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</si>
  <si>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</si>
  <si>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</si>
  <si>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</si>
  <si>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</si>
  <si>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</si>
  <si>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</si>
  <si>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</si>
  <si>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</si>
  <si>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</si>
  <si>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</si>
  <si>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</si>
  <si>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</si>
  <si>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</si>
  <si>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</si>
  <si>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</si>
  <si>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</si>
  <si>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</si>
  <si>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</si>
  <si>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</si>
  <si>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</si>
  <si>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</si>
  <si>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</si>
  <si>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</si>
  <si>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</si>
  <si>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</si>
  <si>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</si>
  <si>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</si>
  <si>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</si>
  <si>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</si>
  <si>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</si>
  <si>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</si>
  <si>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</si>
  <si>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</si>
  <si>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</si>
  <si>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</si>
  <si>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</si>
  <si>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</si>
  <si>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</si>
  <si>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</si>
  <si>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</si>
  <si>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</si>
  <si>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</si>
  <si>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</si>
  <si>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</si>
  <si>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</si>
  <si>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</si>
  <si>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</si>
  <si>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</si>
  <si>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</si>
  <si>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</si>
  <si>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</si>
  <si>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</si>
  <si>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</si>
  <si>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</si>
  <si>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</si>
  <si>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</si>
  <si>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</si>
  <si>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</si>
  <si>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</si>
  <si>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</si>
  <si>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</si>
  <si>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</si>
  <si>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</si>
  <si>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</si>
  <si>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</si>
  <si>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</si>
  <si>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</si>
  <si>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</si>
  <si>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</si>
  <si>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</si>
  <si>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</si>
  <si>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</si>
  <si>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</si>
  <si>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</si>
  <si>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</si>
  <si>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</si>
  <si>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</si>
  <si>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</si>
  <si>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</si>
  <si>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</si>
  <si>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</si>
  <si>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</si>
  <si>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</si>
  <si>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</si>
  <si>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</si>
  <si>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</si>
  <si>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</si>
  <si>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</si>
  <si>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</si>
  <si>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</si>
  <si>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</si>
  <si>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</si>
  <si>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15.10.26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</si>
  <si>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</si>
  <si>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</si>
  <si>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</si>
  <si>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</si>
  <si>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</si>
  <si>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</si>
  <si>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</si>
  <si>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</si>
  <si>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</si>
  <si>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</si>
  <si>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</si>
  <si>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</si>
  <si>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</si>
  <si>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</t>
  </si>
  <si>
    <t>05.10.26/20.10.26/25.10.26</t>
  </si>
  <si>
    <t>ECW PUMP (TG)</t>
  </si>
  <si>
    <t>200 KW</t>
  </si>
  <si>
    <t>10.10.26/20.10.26</t>
  </si>
  <si>
    <t>10.10.26/15.10.26/25.10.26</t>
  </si>
  <si>
    <t>ACW PUMP</t>
  </si>
  <si>
    <t>400 KW</t>
  </si>
  <si>
    <t>BOP Board</t>
  </si>
  <si>
    <t>15.09.26/25.09.26/05.10.26</t>
  </si>
  <si>
    <t>HOGGING PUMP</t>
  </si>
  <si>
    <t>500 KW</t>
  </si>
  <si>
    <t>ECW PUMP SG</t>
  </si>
  <si>
    <t>160 KW</t>
  </si>
  <si>
    <t>10.10.26/15.10.26/31.10.26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</si>
  <si>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</si>
  <si>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</si>
  <si>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</si>
  <si>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</si>
  <si>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</si>
  <si>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</si>
  <si>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</si>
  <si>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</si>
  <si>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</si>
  <si>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</si>
  <si>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</si>
  <si>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4 / 7 Foundations </t>
  </si>
  <si>
    <t>Capex till Sep end</t>
  </si>
  <si>
    <t>25.10.26/30.11.26</t>
  </si>
  <si>
    <t>In Progress</t>
  </si>
  <si>
    <t>10 / 12 Foundations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</si>
</sst>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C10" sqref="C10"/>
    </sheetView>
  </sheetViews>
  <sheetFormatPr defaultRowHeight="14.25" x14ac:dyDescent="0.45"/>
  <cols>
    <col min="2" max="2" width="19" bestFit="1" customWidth="1"/>
    <col min="3" max="3" width="16.265625" bestFit="1" customWidth="1"/>
    <col min="4" max="4" width="18.59765625" bestFit="1" customWidth="1"/>
  </cols>
  <sheetData>
    <row r="1" spans="1:4" ht="26.65" thickBot="1" x14ac:dyDescent="0.5">
      <c r="A1" s="2" t="s">
        <v>0</v>
      </c>
      <c r="B1" s="13" t="s">
        <v>1</v>
      </c>
      <c r="C1" s="13" t="s">
        <v>2</v>
      </c>
      <c r="D1" s="13" t="s">
        <v>3</v>
      </c>
    </row>
    <row r="2" spans="1:4" ht="16.149999999999999" thickBot="1" x14ac:dyDescent="0.5">
      <c r="A2" s="14" t="s">
        <v>4</v>
      </c>
      <c r="B2" s="15">
        <v>15</v>
      </c>
      <c r="C2" s="15">
        <v>0</v>
      </c>
      <c r="D2" s="15">
        <v>0</v>
      </c>
    </row>
    <row r="3" spans="1:4" ht="16.149999999999999" thickBot="1" x14ac:dyDescent="0.5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4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4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4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4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4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45">
      <c r="A9" s="30" t="s">
        <v>215</v>
      </c>
      <c r="B9" s="30">
        <v>297</v>
      </c>
      <c r="C9" s="30">
        <v>262</v>
      </c>
      <c r="D9" s="31">
        <f>D8+C9</f>
        <v>4877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4.25" x14ac:dyDescent="0.45"/>
  <cols>
    <col min="1" max="1" width="23.73046875" customWidth="1"/>
    <col min="2" max="2" width="60" customWidth="1"/>
  </cols>
  <sheetData>
    <row r="1" spans="1:2" ht="14.65" thickBot="1" x14ac:dyDescent="0.5">
      <c r="A1" s="1" t="s">
        <v>11</v>
      </c>
      <c r="B1" s="2" t="s">
        <v>12</v>
      </c>
    </row>
    <row r="2" spans="1:2" ht="15.4" thickBot="1" x14ac:dyDescent="0.5">
      <c r="A2" s="3" t="s">
        <v>13</v>
      </c>
      <c r="B2" s="4" t="s">
        <v>14</v>
      </c>
    </row>
    <row r="3" spans="1:2" ht="15.4" thickBot="1" x14ac:dyDescent="0.5">
      <c r="A3" s="5" t="s">
        <v>15</v>
      </c>
      <c r="B3" s="6" t="s">
        <v>16</v>
      </c>
    </row>
    <row r="4" spans="1:2" ht="15.4" thickBot="1" x14ac:dyDescent="0.5">
      <c r="A4" s="7" t="s">
        <v>17</v>
      </c>
      <c r="B4" s="4" t="s">
        <v>18</v>
      </c>
    </row>
    <row r="5" spans="1:2" ht="30.4" thickBot="1" x14ac:dyDescent="0.5">
      <c r="A5" s="5" t="s">
        <v>19</v>
      </c>
      <c r="B5" s="6" t="s">
        <v>219</v>
      </c>
    </row>
    <row r="6" spans="1:2" ht="15.4" thickBot="1" x14ac:dyDescent="0.5">
      <c r="A6" s="7" t="s">
        <v>20</v>
      </c>
      <c r="B6" s="4" t="s">
        <v>216</v>
      </c>
    </row>
    <row r="7" spans="1:2" ht="30.4" thickBot="1" x14ac:dyDescent="0.5">
      <c r="A7" s="5" t="s">
        <v>21</v>
      </c>
      <c r="B7" s="6" t="s">
        <v>217</v>
      </c>
    </row>
    <row r="8" spans="1:2" ht="15.4" thickBot="1" x14ac:dyDescent="0.5">
      <c r="A8" s="7" t="s">
        <v>22</v>
      </c>
      <c r="B8" s="4" t="s">
        <v>218</v>
      </c>
    </row>
    <row r="9" spans="1:2" ht="15.4" thickBot="1" x14ac:dyDescent="0.5">
      <c r="A9" s="5" t="s">
        <v>23</v>
      </c>
      <c r="B9" s="6" t="s">
        <v>24</v>
      </c>
    </row>
    <row r="10" spans="1:2" ht="15.4" thickBot="1" x14ac:dyDescent="0.5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B3" sqref="B3"/>
    </sheetView>
  </sheetViews>
  <sheetFormatPr defaultRowHeight="14.25" x14ac:dyDescent="0.45"/>
  <cols>
    <col min="1" max="1" width="24.59765625" customWidth="1"/>
    <col min="2" max="2" width="29" customWidth="1"/>
    <col min="3" max="3" width="41.1328125" customWidth="1"/>
  </cols>
  <sheetData>
    <row r="1" spans="1:3" ht="31.9" thickBot="1" x14ac:dyDescent="0.5">
      <c r="A1" s="19" t="s">
        <v>27</v>
      </c>
      <c r="B1" s="20" t="s">
        <v>28</v>
      </c>
      <c r="C1" s="21" t="s">
        <v>29</v>
      </c>
    </row>
    <row r="2" spans="1:3" ht="47.65" thickBot="1" x14ac:dyDescent="0.5">
      <c r="A2" s="23" t="s">
        <v>30</v>
      </c>
      <c r="B2" s="22" t="s">
        <v>224</v>
      </c>
      <c r="C2" s="24" t="s">
        <v>31</v>
      </c>
    </row>
    <row r="3" spans="1:3" ht="47.65" thickBot="1" x14ac:dyDescent="0.5">
      <c r="A3" s="23" t="s">
        <v>32</v>
      </c>
      <c r="B3" s="22" t="s">
        <v>220</v>
      </c>
      <c r="C3" s="24" t="s">
        <v>33</v>
      </c>
    </row>
    <row r="4" spans="1:3" ht="47.65" thickBot="1" x14ac:dyDescent="0.5">
      <c r="A4" s="23" t="s">
        <v>34</v>
      </c>
      <c r="B4" s="22" t="s">
        <v>48</v>
      </c>
      <c r="C4" s="24" t="s">
        <v>35</v>
      </c>
    </row>
    <row r="5" spans="1:3" ht="47.25" x14ac:dyDescent="0.45">
      <c r="A5" s="25" t="s">
        <v>36</v>
      </c>
      <c r="B5" s="26" t="s">
        <v>37</v>
      </c>
      <c r="C5" s="27" t="s">
        <v>38</v>
      </c>
    </row>
    <row r="6" spans="1:3" ht="47.25" x14ac:dyDescent="0.45">
      <c r="A6" s="28" t="s">
        <v>39</v>
      </c>
      <c r="B6" s="28" t="s">
        <v>48</v>
      </c>
      <c r="C6" s="28" t="s">
        <v>40</v>
      </c>
    </row>
    <row r="7" spans="1:3" ht="15.75" x14ac:dyDescent="0.45">
      <c r="A7" s="28" t="s">
        <v>41</v>
      </c>
      <c r="B7" s="28" t="s">
        <v>223</v>
      </c>
      <c r="C7" s="28" t="s">
        <v>42</v>
      </c>
    </row>
    <row r="8" spans="1:3" ht="15.75" x14ac:dyDescent="0.45">
      <c r="A8" s="28" t="s">
        <v>43</v>
      </c>
      <c r="B8" s="28" t="s">
        <v>48</v>
      </c>
      <c r="C8" s="28" t="s">
        <v>44</v>
      </c>
    </row>
    <row r="9" spans="1:3" ht="15.75" x14ac:dyDescent="0.45">
      <c r="A9" s="28" t="s">
        <v>45</v>
      </c>
      <c r="B9" s="28" t="s">
        <v>48</v>
      </c>
      <c r="C9" s="28" t="s">
        <v>46</v>
      </c>
    </row>
    <row r="10" spans="1:3" ht="15.75" x14ac:dyDescent="0.5">
      <c r="A10" s="28" t="s">
        <v>47</v>
      </c>
      <c r="B10" s="28" t="s">
        <v>48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4.25" x14ac:dyDescent="0.45"/>
  <cols>
    <col min="1" max="1" width="16.59765625" bestFit="1" customWidth="1"/>
  </cols>
  <sheetData>
    <row r="1" spans="1:3" x14ac:dyDescent="0.45">
      <c r="A1" t="s">
        <v>49</v>
      </c>
      <c r="B1" t="s">
        <v>50</v>
      </c>
      <c r="C1" t="s">
        <v>51</v>
      </c>
    </row>
    <row r="2" spans="1:3" x14ac:dyDescent="0.45">
      <c r="A2" t="s">
        <v>52</v>
      </c>
      <c r="B2">
        <v>1448.3</v>
      </c>
      <c r="C2" s="18">
        <v>1</v>
      </c>
    </row>
    <row r="3" spans="1:3" x14ac:dyDescent="0.45">
      <c r="A3" t="s">
        <v>221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3" sqref="C3"/>
    </sheetView>
  </sheetViews>
  <sheetFormatPr defaultRowHeight="14.25" x14ac:dyDescent="0.45"/>
  <cols>
    <col min="1" max="1" width="27.73046875" customWidth="1"/>
    <col min="2" max="3" width="19.3984375" bestFit="1" customWidth="1"/>
    <col min="4" max="4" width="11.265625" customWidth="1"/>
  </cols>
  <sheetData>
    <row r="1" spans="1:4" ht="28.15" thickBot="1" x14ac:dyDescent="0.5">
      <c r="A1" s="8" t="s">
        <v>53</v>
      </c>
      <c r="B1" s="9" t="s">
        <v>54</v>
      </c>
      <c r="C1" s="9" t="s">
        <v>55</v>
      </c>
      <c r="D1" s="9" t="s">
        <v>56</v>
      </c>
    </row>
    <row r="2" spans="1:4" x14ac:dyDescent="0.45">
      <c r="A2" s="10" t="s">
        <v>57</v>
      </c>
      <c r="B2" s="11">
        <v>1200</v>
      </c>
      <c r="C2" s="11">
        <v>706</v>
      </c>
      <c r="D2" s="11">
        <f>B2-C2</f>
        <v>494</v>
      </c>
    </row>
    <row r="3" spans="1:4" x14ac:dyDescent="0.45">
      <c r="A3" s="10" t="s">
        <v>58</v>
      </c>
      <c r="B3" s="11">
        <v>400</v>
      </c>
      <c r="C3" s="11">
        <v>271</v>
      </c>
      <c r="D3" s="11">
        <f t="shared" ref="D3:D8" si="0">B3-C3</f>
        <v>129</v>
      </c>
    </row>
    <row r="4" spans="1:4" x14ac:dyDescent="0.45">
      <c r="A4" s="10" t="s">
        <v>59</v>
      </c>
      <c r="B4" s="12">
        <v>400</v>
      </c>
      <c r="C4" s="12">
        <v>352</v>
      </c>
      <c r="D4" s="11">
        <f t="shared" si="0"/>
        <v>48</v>
      </c>
    </row>
    <row r="5" spans="1:4" x14ac:dyDescent="0.45">
      <c r="A5" s="10" t="s">
        <v>60</v>
      </c>
      <c r="B5" s="12">
        <v>400</v>
      </c>
      <c r="C5" s="12">
        <v>301</v>
      </c>
      <c r="D5" s="11">
        <f t="shared" si="0"/>
        <v>99</v>
      </c>
    </row>
    <row r="6" spans="1:4" x14ac:dyDescent="0.45">
      <c r="A6" s="10" t="s">
        <v>61</v>
      </c>
      <c r="B6" s="12">
        <v>250</v>
      </c>
      <c r="C6" s="12">
        <v>137</v>
      </c>
      <c r="D6" s="11">
        <f t="shared" si="0"/>
        <v>113</v>
      </c>
    </row>
    <row r="7" spans="1:4" x14ac:dyDescent="0.45">
      <c r="A7" s="10" t="s">
        <v>62</v>
      </c>
      <c r="B7" s="12">
        <v>100</v>
      </c>
      <c r="C7" s="12">
        <v>70</v>
      </c>
      <c r="D7" s="11">
        <f t="shared" si="0"/>
        <v>30</v>
      </c>
    </row>
    <row r="8" spans="1:4" x14ac:dyDescent="0.45">
      <c r="A8" s="10" t="s">
        <v>63</v>
      </c>
      <c r="B8" s="12">
        <v>100</v>
      </c>
      <c r="C8" s="12">
        <v>77</v>
      </c>
      <c r="D8" s="11">
        <f t="shared" si="0"/>
        <v>23</v>
      </c>
    </row>
    <row r="9" spans="1:4" ht="14.65" thickBot="1" x14ac:dyDescent="0.5">
      <c r="A9" s="10" t="s">
        <v>64</v>
      </c>
      <c r="B9" s="12">
        <f>SUM(B2:B8)</f>
        <v>2850</v>
      </c>
      <c r="C9" s="12">
        <f>SUM(C2:C8)</f>
        <v>1914</v>
      </c>
      <c r="D9" s="12">
        <f>SUM(D2:D8)</f>
        <v>936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tabSelected="1" topLeftCell="AV1" workbookViewId="0">
      <selection activeCell="H9" sqref="H9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4.25" x14ac:dyDescent="0.45"/>
  <cols>
    <col min="1" max="1" width="6" bestFit="1" customWidth="1"/>
    <col min="2" max="2" width="8.86328125" bestFit="1" customWidth="1"/>
    <col min="3" max="3" width="23.59765625" bestFit="1" customWidth="1"/>
    <col min="4" max="4" width="20.73046875" customWidth="1"/>
    <col min="5" max="5" width="14.73046875" customWidth="1"/>
    <col min="6" max="6" width="17" customWidth="1"/>
    <col min="7" max="7" width="14" customWidth="1"/>
    <col min="8" max="8" width="11" customWidth="1"/>
    <col min="23" max="23" width="2.73046875" bestFit="1" customWidth="1"/>
  </cols>
  <sheetData>
    <row r="1" spans="1:12" s="39" customFormat="1" ht="42.75" customHeight="1" x14ac:dyDescent="0.45">
      <c r="A1" s="37" t="s">
        <v>65</v>
      </c>
      <c r="B1" s="37" t="s">
        <v>66</v>
      </c>
      <c r="C1" s="37" t="s">
        <v>67</v>
      </c>
      <c r="D1" s="37" t="s">
        <v>68</v>
      </c>
      <c r="E1" s="37" t="s">
        <v>69</v>
      </c>
      <c r="F1" s="37" t="s">
        <v>70</v>
      </c>
      <c r="G1" s="37" t="s">
        <v>71</v>
      </c>
      <c r="H1" s="37" t="s">
        <v>72</v>
      </c>
      <c r="I1" s="39" t="s">
        <v>73</v>
      </c>
      <c r="J1" s="39" t="s">
        <v>74</v>
      </c>
      <c r="K1" s="39" t="s">
        <v>75</v>
      </c>
      <c r="L1" s="39" t="s">
        <v>76</v>
      </c>
    </row>
    <row r="2" spans="1:12" ht="15.75" x14ac:dyDescent="0.45">
      <c r="A2" s="35" t="s">
        <v>77</v>
      </c>
      <c r="B2" s="35" t="s">
        <v>78</v>
      </c>
      <c r="C2" s="35" t="s">
        <v>79</v>
      </c>
      <c r="D2" s="35" t="s">
        <v>80</v>
      </c>
      <c r="E2" s="35" t="s">
        <v>81</v>
      </c>
      <c r="F2" s="35" t="s">
        <v>82</v>
      </c>
      <c r="G2" s="35" t="s">
        <v>83</v>
      </c>
      <c r="H2" s="35" t="s">
        <v>83</v>
      </c>
    </row>
    <row r="3" spans="1:12" ht="15.75" x14ac:dyDescent="0.45">
      <c r="A3" s="35" t="s">
        <v>84</v>
      </c>
      <c r="B3" s="35" t="s">
        <v>85</v>
      </c>
      <c r="C3" s="35" t="s">
        <v>86</v>
      </c>
      <c r="D3" s="35" t="s">
        <v>82</v>
      </c>
      <c r="E3" s="35" t="s">
        <v>87</v>
      </c>
      <c r="F3" s="35" t="s">
        <v>87</v>
      </c>
      <c r="G3" s="35" t="s">
        <v>88</v>
      </c>
      <c r="H3" s="35" t="s">
        <v>89</v>
      </c>
    </row>
    <row r="4" spans="1:12" ht="15.75" x14ac:dyDescent="0.45">
      <c r="A4" s="35" t="s">
        <v>84</v>
      </c>
      <c r="B4" s="35" t="s">
        <v>90</v>
      </c>
      <c r="C4" s="35" t="s">
        <v>91</v>
      </c>
      <c r="D4" s="35" t="s">
        <v>92</v>
      </c>
      <c r="E4" s="35" t="s">
        <v>93</v>
      </c>
      <c r="F4" s="35" t="s">
        <v>93</v>
      </c>
      <c r="G4" s="35" t="s">
        <v>83</v>
      </c>
      <c r="H4" s="35" t="s">
        <v>94</v>
      </c>
    </row>
    <row r="5" spans="1:12" ht="15.75" x14ac:dyDescent="0.45">
      <c r="A5" s="35" t="s">
        <v>95</v>
      </c>
      <c r="B5" s="35" t="s">
        <v>96</v>
      </c>
      <c r="C5" s="35" t="s">
        <v>97</v>
      </c>
      <c r="D5" s="35" t="s">
        <v>98</v>
      </c>
      <c r="E5" s="35" t="s">
        <v>99</v>
      </c>
      <c r="F5" s="35" t="s">
        <v>100</v>
      </c>
      <c r="G5" s="35" t="s">
        <v>80</v>
      </c>
      <c r="H5" s="35" t="s">
        <v>101</v>
      </c>
    </row>
    <row r="6" spans="1:12" ht="15.75" x14ac:dyDescent="0.45">
      <c r="A6" s="35" t="s">
        <v>102</v>
      </c>
      <c r="B6" s="35" t="s">
        <v>103</v>
      </c>
      <c r="C6" s="35" t="s">
        <v>104</v>
      </c>
      <c r="D6" s="35" t="s">
        <v>105</v>
      </c>
      <c r="E6" s="35" t="s">
        <v>106</v>
      </c>
      <c r="F6" s="35" t="s">
        <v>77</v>
      </c>
      <c r="G6" s="35" t="s">
        <v>107</v>
      </c>
      <c r="H6" s="35" t="s">
        <v>84</v>
      </c>
    </row>
    <row r="7" spans="1:12" ht="15.75" x14ac:dyDescent="0.45">
      <c r="A7" s="35" t="s">
        <v>88</v>
      </c>
      <c r="B7" s="35" t="s">
        <v>108</v>
      </c>
      <c r="C7" s="35" t="s">
        <v>109</v>
      </c>
      <c r="D7" s="35" t="s">
        <v>110</v>
      </c>
      <c r="E7" s="35" t="s">
        <v>111</v>
      </c>
      <c r="F7" s="35" t="s">
        <v>95</v>
      </c>
      <c r="G7" s="35" t="s">
        <v>111</v>
      </c>
      <c r="H7" s="35" t="s">
        <v>95</v>
      </c>
    </row>
    <row r="8" spans="1:12" ht="15.75" x14ac:dyDescent="0.45">
      <c r="A8" s="35" t="s">
        <v>87</v>
      </c>
      <c r="B8" s="35" t="s">
        <v>112</v>
      </c>
      <c r="C8" s="35" t="s">
        <v>113</v>
      </c>
      <c r="D8" s="35" t="s">
        <v>114</v>
      </c>
      <c r="E8" s="35" t="s">
        <v>114</v>
      </c>
      <c r="F8" s="35" t="s">
        <v>115</v>
      </c>
      <c r="G8" s="35" t="s">
        <v>114</v>
      </c>
      <c r="H8" s="35" t="s">
        <v>115</v>
      </c>
    </row>
    <row r="9" spans="1:12" ht="15.75" x14ac:dyDescent="0.45">
      <c r="A9" s="35" t="s">
        <v>89</v>
      </c>
      <c r="B9" s="35" t="s">
        <v>116</v>
      </c>
      <c r="C9" s="35" t="s">
        <v>117</v>
      </c>
      <c r="D9" s="35" t="s">
        <v>118</v>
      </c>
      <c r="E9" s="35" t="s">
        <v>119</v>
      </c>
      <c r="F9" s="35" t="s">
        <v>119</v>
      </c>
      <c r="G9" s="35" t="s">
        <v>89</v>
      </c>
      <c r="H9" s="35" t="s">
        <v>120</v>
      </c>
    </row>
    <row r="10" spans="1:12" ht="15.75" x14ac:dyDescent="0.45">
      <c r="A10" s="35" t="s">
        <v>121</v>
      </c>
      <c r="B10" s="35" t="s">
        <v>122</v>
      </c>
      <c r="C10" s="35" t="s">
        <v>123</v>
      </c>
      <c r="D10" s="35" t="s">
        <v>118</v>
      </c>
      <c r="E10" s="35" t="s">
        <v>115</v>
      </c>
      <c r="F10" s="35" t="s">
        <v>118</v>
      </c>
      <c r="G10" s="35" t="s">
        <v>115</v>
      </c>
      <c r="H10" s="35" t="s">
        <v>118</v>
      </c>
    </row>
    <row r="11" spans="1:12" ht="15.75" x14ac:dyDescent="0.45">
      <c r="A11" s="35" t="s">
        <v>124</v>
      </c>
      <c r="B11" s="35" t="s">
        <v>125</v>
      </c>
      <c r="C11" s="38" t="s">
        <v>126</v>
      </c>
      <c r="D11" s="38" t="s">
        <v>127</v>
      </c>
      <c r="E11" s="38" t="s">
        <v>115</v>
      </c>
      <c r="F11" s="38" t="s">
        <v>127</v>
      </c>
      <c r="G11" s="38" t="s">
        <v>115</v>
      </c>
      <c r="H11" s="38" t="s">
        <v>127</v>
      </c>
    </row>
    <row r="12" spans="1:12" ht="15.75" x14ac:dyDescent="0.45">
      <c r="A12" s="35" t="s">
        <v>114</v>
      </c>
      <c r="B12" s="35" t="s">
        <v>128</v>
      </c>
      <c r="C12" s="38" t="s">
        <v>129</v>
      </c>
      <c r="D12" s="38" t="s">
        <v>87</v>
      </c>
      <c r="E12" s="38" t="s">
        <v>115</v>
      </c>
      <c r="F12" s="38" t="s">
        <v>87</v>
      </c>
      <c r="G12" s="38" t="s">
        <v>115</v>
      </c>
      <c r="H12" s="38" t="s">
        <v>87</v>
      </c>
    </row>
    <row r="13" spans="1:12" ht="15.75" x14ac:dyDescent="0.45">
      <c r="A13" s="35" t="s">
        <v>119</v>
      </c>
      <c r="B13" s="35" t="s">
        <v>130</v>
      </c>
      <c r="C13" s="38" t="s">
        <v>131</v>
      </c>
      <c r="D13" s="38" t="s">
        <v>84</v>
      </c>
      <c r="E13" s="38" t="s">
        <v>77</v>
      </c>
      <c r="F13" s="38" t="s">
        <v>77</v>
      </c>
      <c r="G13" s="38" t="s">
        <v>77</v>
      </c>
      <c r="H13" s="38" t="s">
        <v>77</v>
      </c>
    </row>
    <row r="14" spans="1:12" ht="15.75" x14ac:dyDescent="0.45">
      <c r="A14" s="35" t="s">
        <v>82</v>
      </c>
      <c r="B14" s="35" t="s">
        <v>132</v>
      </c>
      <c r="C14" s="35" t="s">
        <v>133</v>
      </c>
      <c r="D14" s="35" t="s">
        <v>107</v>
      </c>
      <c r="E14" s="35" t="s">
        <v>83</v>
      </c>
      <c r="F14" s="35" t="s">
        <v>111</v>
      </c>
      <c r="G14" s="35" t="s">
        <v>83</v>
      </c>
      <c r="H14" s="35" t="s">
        <v>111</v>
      </c>
    </row>
    <row r="15" spans="1:12" ht="15.75" x14ac:dyDescent="0.45">
      <c r="A15" s="35" t="s">
        <v>83</v>
      </c>
      <c r="B15" s="35" t="s">
        <v>134</v>
      </c>
      <c r="C15" s="35" t="s">
        <v>135</v>
      </c>
      <c r="D15" s="35" t="s">
        <v>136</v>
      </c>
      <c r="E15" s="35" t="s">
        <v>87</v>
      </c>
      <c r="F15" s="35" t="s">
        <v>105</v>
      </c>
      <c r="G15" s="35" t="s">
        <v>87</v>
      </c>
      <c r="H15" s="35" t="s">
        <v>105</v>
      </c>
    </row>
    <row r="16" spans="1:12" ht="15.75" x14ac:dyDescent="0.45">
      <c r="A16" s="35" t="s">
        <v>81</v>
      </c>
      <c r="B16" s="35" t="s">
        <v>137</v>
      </c>
      <c r="C16" s="38" t="s">
        <v>138</v>
      </c>
      <c r="D16" s="38" t="s">
        <v>100</v>
      </c>
      <c r="E16" s="38" t="s">
        <v>82</v>
      </c>
      <c r="F16" s="38" t="s">
        <v>139</v>
      </c>
      <c r="G16" s="38" t="s">
        <v>82</v>
      </c>
      <c r="H16" s="38" t="s">
        <v>139</v>
      </c>
    </row>
    <row r="17" spans="1:8" ht="15.75" x14ac:dyDescent="0.45">
      <c r="A17" s="35" t="s">
        <v>120</v>
      </c>
      <c r="B17" s="35" t="s">
        <v>140</v>
      </c>
      <c r="C17" s="38" t="s">
        <v>141</v>
      </c>
      <c r="D17" s="38" t="s">
        <v>142</v>
      </c>
      <c r="E17" s="38" t="s">
        <v>143</v>
      </c>
      <c r="F17" s="38" t="s">
        <v>144</v>
      </c>
      <c r="G17" s="38" t="s">
        <v>110</v>
      </c>
      <c r="H17" s="38" t="s">
        <v>145</v>
      </c>
    </row>
    <row r="18" spans="1:8" ht="15.75" x14ac:dyDescent="0.45">
      <c r="A18" s="35" t="s">
        <v>146</v>
      </c>
      <c r="B18" s="35" t="s">
        <v>147</v>
      </c>
      <c r="C18" s="35" t="s">
        <v>148</v>
      </c>
      <c r="D18" s="35" t="s">
        <v>121</v>
      </c>
      <c r="E18" s="35" t="s">
        <v>121</v>
      </c>
      <c r="F18" s="35" t="s">
        <v>115</v>
      </c>
      <c r="G18" s="35" t="s">
        <v>121</v>
      </c>
      <c r="H18" s="35" t="s">
        <v>115</v>
      </c>
    </row>
    <row r="19" spans="1:8" ht="15.75" x14ac:dyDescent="0.45">
      <c r="A19" s="35" t="s">
        <v>111</v>
      </c>
      <c r="B19" s="35" t="s">
        <v>149</v>
      </c>
      <c r="C19" s="35" t="s">
        <v>150</v>
      </c>
      <c r="D19" s="35" t="s">
        <v>151</v>
      </c>
      <c r="E19" s="35" t="s">
        <v>88</v>
      </c>
      <c r="F19" s="35" t="s">
        <v>81</v>
      </c>
      <c r="G19" s="35" t="s">
        <v>95</v>
      </c>
      <c r="H19" s="35" t="s">
        <v>146</v>
      </c>
    </row>
    <row r="20" spans="1:8" ht="15.75" x14ac:dyDescent="0.45">
      <c r="A20" s="35" t="s">
        <v>151</v>
      </c>
      <c r="B20" s="35" t="s">
        <v>152</v>
      </c>
      <c r="C20" s="35" t="s">
        <v>153</v>
      </c>
      <c r="D20" s="35" t="s">
        <v>87</v>
      </c>
      <c r="E20" s="35" t="s">
        <v>77</v>
      </c>
      <c r="F20" s="35" t="s">
        <v>88</v>
      </c>
      <c r="G20" s="35" t="s">
        <v>115</v>
      </c>
      <c r="H20" s="35" t="s">
        <v>87</v>
      </c>
    </row>
    <row r="21" spans="1:8" ht="15.75" x14ac:dyDescent="0.45">
      <c r="A21" s="35" t="s">
        <v>110</v>
      </c>
      <c r="B21" s="35" t="s">
        <v>154</v>
      </c>
      <c r="C21" s="35" t="s">
        <v>155</v>
      </c>
      <c r="D21" s="35" t="s">
        <v>127</v>
      </c>
      <c r="E21" s="35" t="s">
        <v>110</v>
      </c>
      <c r="F21" s="35" t="s">
        <v>156</v>
      </c>
      <c r="G21" s="35" t="s">
        <v>115</v>
      </c>
      <c r="H21" s="35" t="s">
        <v>127</v>
      </c>
    </row>
    <row r="22" spans="1:8" ht="15.75" x14ac:dyDescent="0.5">
      <c r="A22" s="36"/>
      <c r="B22" s="36"/>
      <c r="C22" s="37" t="s">
        <v>68</v>
      </c>
      <c r="D22" s="37" t="s">
        <v>157</v>
      </c>
      <c r="E22" s="37" t="s">
        <v>158</v>
      </c>
      <c r="F22" s="37" t="s">
        <v>159</v>
      </c>
      <c r="G22" s="37" t="s">
        <v>160</v>
      </c>
      <c r="H22" s="37" t="s">
        <v>161</v>
      </c>
    </row>
    <row r="23" spans="1:8" ht="15.75" hidden="1" x14ac:dyDescent="0.5">
      <c r="A23" s="33"/>
      <c r="B23" s="33"/>
      <c r="C23" s="34" t="s">
        <v>162</v>
      </c>
      <c r="D23" s="33"/>
      <c r="E23" s="34" t="s">
        <v>163</v>
      </c>
      <c r="F23" s="34" t="s">
        <v>164</v>
      </c>
      <c r="G23" s="34" t="s">
        <v>165</v>
      </c>
      <c r="H23" s="34" t="s">
        <v>166</v>
      </c>
    </row>
    <row r="303" spans="23:23" x14ac:dyDescent="0.45">
      <c r="W303" t="s">
        <v>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6" sqref="F6"/>
    </sheetView>
  </sheetViews>
  <sheetFormatPr defaultRowHeight="14.25" x14ac:dyDescent="0.45"/>
  <cols>
    <col min="2" max="2" width="13.3984375" bestFit="1" customWidth="1"/>
    <col min="3" max="3" width="17.59765625" bestFit="1" customWidth="1"/>
    <col min="4" max="4" width="16.59765625" bestFit="1" customWidth="1"/>
    <col min="5" max="5" width="22.3984375" bestFit="1" customWidth="1"/>
    <col min="6" max="6" width="21.86328125" bestFit="1" customWidth="1"/>
  </cols>
  <sheetData>
    <row r="1" spans="1:6" x14ac:dyDescent="0.45">
      <c r="A1" s="43" t="s">
        <v>168</v>
      </c>
      <c r="B1" s="43" t="s">
        <v>169</v>
      </c>
      <c r="C1" s="43" t="s">
        <v>170</v>
      </c>
      <c r="D1" s="43" t="s">
        <v>171</v>
      </c>
      <c r="E1" s="43" t="s">
        <v>172</v>
      </c>
      <c r="F1" s="43" t="s">
        <v>173</v>
      </c>
    </row>
    <row r="2" spans="1:6" x14ac:dyDescent="0.45">
      <c r="A2" s="44"/>
      <c r="B2" s="44"/>
      <c r="C2" s="44"/>
      <c r="D2" s="44"/>
      <c r="E2" s="44"/>
      <c r="F2" s="44"/>
    </row>
    <row r="3" spans="1:6" x14ac:dyDescent="0.45">
      <c r="A3" s="44"/>
      <c r="B3" s="44"/>
      <c r="C3" s="44"/>
      <c r="D3" s="44"/>
      <c r="E3" s="44"/>
      <c r="F3" s="44"/>
    </row>
    <row r="4" spans="1:6" x14ac:dyDescent="0.45">
      <c r="A4" s="32">
        <v>1</v>
      </c>
      <c r="B4" s="32" t="s">
        <v>174</v>
      </c>
      <c r="C4" s="32" t="s">
        <v>175</v>
      </c>
      <c r="D4" s="32">
        <v>11</v>
      </c>
      <c r="E4" s="32" t="s">
        <v>176</v>
      </c>
      <c r="F4" s="32" t="s">
        <v>177</v>
      </c>
    </row>
    <row r="5" spans="1:6" x14ac:dyDescent="0.45">
      <c r="A5" s="32">
        <v>2</v>
      </c>
      <c r="B5" s="32" t="s">
        <v>178</v>
      </c>
      <c r="C5" s="32" t="s">
        <v>179</v>
      </c>
      <c r="D5" s="32">
        <v>11</v>
      </c>
      <c r="E5" s="32" t="s">
        <v>180</v>
      </c>
      <c r="F5" s="32" t="s">
        <v>222</v>
      </c>
    </row>
    <row r="6" spans="1:6" x14ac:dyDescent="0.45">
      <c r="A6" s="32">
        <v>3</v>
      </c>
      <c r="B6" s="32" t="s">
        <v>181</v>
      </c>
      <c r="C6" s="32" t="s">
        <v>182</v>
      </c>
      <c r="D6" s="32">
        <v>11</v>
      </c>
      <c r="E6" s="32" t="s">
        <v>180</v>
      </c>
      <c r="F6" s="32" t="s">
        <v>183</v>
      </c>
    </row>
    <row r="7" spans="1:6" x14ac:dyDescent="0.45">
      <c r="A7" s="32">
        <v>4</v>
      </c>
      <c r="B7" s="32" t="s">
        <v>184</v>
      </c>
      <c r="C7" s="32" t="s">
        <v>185</v>
      </c>
      <c r="D7" s="32">
        <v>11</v>
      </c>
      <c r="E7" s="32" t="s">
        <v>180</v>
      </c>
      <c r="F7" s="32" t="s">
        <v>183</v>
      </c>
    </row>
    <row r="8" spans="1:6" x14ac:dyDescent="0.45">
      <c r="A8" s="32">
        <v>5</v>
      </c>
      <c r="B8" s="32" t="s">
        <v>186</v>
      </c>
      <c r="C8" s="32" t="s">
        <v>187</v>
      </c>
      <c r="D8" s="32">
        <v>11</v>
      </c>
      <c r="E8" s="32"/>
      <c r="F8" s="32"/>
    </row>
    <row r="9" spans="1:6" x14ac:dyDescent="0.45">
      <c r="A9" s="32"/>
      <c r="B9" s="40" t="s">
        <v>188</v>
      </c>
      <c r="C9" s="41"/>
      <c r="D9" s="42"/>
      <c r="E9" s="32" t="s">
        <v>189</v>
      </c>
      <c r="F9" s="32"/>
    </row>
    <row r="10" spans="1:6" x14ac:dyDescent="0.45">
      <c r="A10" s="32">
        <v>6</v>
      </c>
      <c r="B10" s="32" t="s">
        <v>190</v>
      </c>
      <c r="C10" s="32" t="s">
        <v>191</v>
      </c>
      <c r="D10" s="32">
        <v>3.3</v>
      </c>
      <c r="E10" s="32"/>
      <c r="F10" s="32"/>
    </row>
    <row r="11" spans="1:6" x14ac:dyDescent="0.45">
      <c r="A11" s="32">
        <v>7</v>
      </c>
      <c r="B11" s="32" t="s">
        <v>192</v>
      </c>
      <c r="C11" s="32" t="s">
        <v>193</v>
      </c>
      <c r="D11" s="32">
        <v>3.3</v>
      </c>
      <c r="E11" s="32" t="s">
        <v>194</v>
      </c>
      <c r="F11" s="32" t="s">
        <v>195</v>
      </c>
    </row>
    <row r="12" spans="1:6" x14ac:dyDescent="0.45">
      <c r="A12" s="32">
        <v>8</v>
      </c>
      <c r="B12" s="32" t="s">
        <v>196</v>
      </c>
      <c r="C12" s="32" t="s">
        <v>197</v>
      </c>
      <c r="D12" s="32">
        <v>3.3</v>
      </c>
      <c r="E12" s="32" t="s">
        <v>198</v>
      </c>
      <c r="F12" s="32" t="s">
        <v>199</v>
      </c>
    </row>
    <row r="13" spans="1:6" x14ac:dyDescent="0.45">
      <c r="A13" s="32">
        <v>9</v>
      </c>
      <c r="B13" s="32" t="s">
        <v>200</v>
      </c>
      <c r="C13" s="32" t="s">
        <v>201</v>
      </c>
      <c r="D13" s="32">
        <v>3.3</v>
      </c>
      <c r="E13" s="32" t="s">
        <v>202</v>
      </c>
      <c r="F13" s="32" t="s">
        <v>203</v>
      </c>
    </row>
    <row r="14" spans="1:6" x14ac:dyDescent="0.45">
      <c r="A14" s="32">
        <v>10</v>
      </c>
      <c r="B14" s="32" t="s">
        <v>204</v>
      </c>
      <c r="C14" s="32" t="s">
        <v>205</v>
      </c>
      <c r="D14" s="32">
        <v>3.3</v>
      </c>
      <c r="E14" s="32"/>
      <c r="F14" s="32"/>
    </row>
    <row r="15" spans="1:6" x14ac:dyDescent="0.45">
      <c r="A15" s="32">
        <v>11</v>
      </c>
      <c r="B15" s="32" t="s">
        <v>206</v>
      </c>
      <c r="C15" s="32" t="s">
        <v>207</v>
      </c>
      <c r="D15" s="32">
        <v>3.3</v>
      </c>
      <c r="E15" s="32" t="s">
        <v>198</v>
      </c>
      <c r="F15" s="32" t="s">
        <v>208</v>
      </c>
    </row>
    <row r="16" spans="1:6" x14ac:dyDescent="0.45">
      <c r="A16" s="32">
        <v>12</v>
      </c>
      <c r="B16" s="32" t="s">
        <v>209</v>
      </c>
      <c r="C16" s="32" t="s">
        <v>210</v>
      </c>
      <c r="D16" s="32">
        <v>3.3</v>
      </c>
      <c r="E16" s="32"/>
      <c r="F16" s="32"/>
    </row>
    <row r="17" spans="1:6" x14ac:dyDescent="0.45">
      <c r="A17" s="32">
        <v>13</v>
      </c>
      <c r="B17" s="32" t="s">
        <v>211</v>
      </c>
      <c r="C17" s="32" t="s">
        <v>212</v>
      </c>
      <c r="D17" s="32">
        <v>3.3</v>
      </c>
      <c r="E17" s="32"/>
      <c r="F17" s="32"/>
    </row>
    <row r="18" spans="1:6" x14ac:dyDescent="0.45">
      <c r="B18" s="40" t="s">
        <v>213</v>
      </c>
      <c r="C18" s="41"/>
      <c r="D18" s="42"/>
      <c r="E18" s="32" t="s">
        <v>214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2026-10-08T14:02:13Z</dcterms:modified>
  <cp:category/>
  <cp:contentStatus/>
</cp:coreProperties>
</file>