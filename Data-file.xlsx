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749" documentId="8_{3CAE69A3-AE5B-4257-93BE-F3BFAEF5261B}" xr6:coauthVersionLast="47" xr6:coauthVersionMax="47" xr10:uidLastSave="{B238CA84-64DD-4AF1-97BF-56752043C7E3}"/>
  <bookViews>
    <workbookView xWindow="7980" yWindow="4185" windowWidth="18045" windowHeight="11295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3" l="1"/>
  <c r="D5" i="3"/>
  <c r="D6" i="3"/>
  <c r="D7" i="3"/>
  <c r="D8" i="3"/>
  <c r="D9" i="3"/>
  <c r="D9" i="1"/>
  <c r="C3" i="4"/>
  <c r="C10" i="3"/>
  <c r="D10" i="3" s="1"/>
  <c r="B10" i="3"/>
  <c r="D3" i="3"/>
  <c r="D2" i="3"/>
  <c r="D6" i="1"/>
  <c r="D7" i="1" s="1"/>
  <c r="D8" i="1" s="1"/>
</calcChain>
</file>

<file path=xl/sharedStrings.xml><?xml version="1.0" encoding="utf-8"?>
<sst xmlns="http://schemas.openxmlformats.org/spreadsheetml/2006/main" count="343" uniqueCount="250">
  <si>
    <t>Month </t>
  </si>
  <si>
    <t>Manpower deployed </t>
  </si>
  <si>
    <t>Erection tonnage </t>
  </si>
  <si>
    <t>Cumulative erection</t>
  </si>
  <si>
    <t>Mar’26</t>
  </si>
  <si>
    <t>Apr’26</t>
  </si>
  <si>
    <t>May’26</t>
  </si>
  <si>
    <t>Jun’26</t>
  </si>
  <si>
    <t>Jul'26</t>
  </si>
  <si>
    <t>Aug'26</t>
  </si>
  <si>
    <t>Sep'26</t>
  </si>
  <si>
    <t>Oct'26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</si>
  <si>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</si>
  <si>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</si>
  <si>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</si>
  <si>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</si>
  <si>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</si>
  <si>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</si>
  <si>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</si>
  <si>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</si>
  <si>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</si>
  <si>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31.10.26/25.11.26/10.12.27</t>
  </si>
  <si>
    <t>Boiler Light up</t>
  </si>
  <si>
    <t>25.10.26/05.12.26/25.12.27</t>
  </si>
  <si>
    <t xml:space="preserve">Steam Blowing Completion </t>
  </si>
  <si>
    <t>30.11.26/31.12.26/15.01.27</t>
  </si>
  <si>
    <t>Sync</t>
  </si>
  <si>
    <t>25.01.27/31.01.27/26.02.27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</si>
  <si>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</si>
  <si>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</si>
  <si>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</si>
  <si>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</si>
  <si>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</si>
  <si>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</si>
  <si>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</si>
  <si>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</si>
  <si>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10 / 12 Foundations </t>
  </si>
  <si>
    <t>FD/ID/PA 3B cable route-30.06.26/15.07.26/30.07.26/10.08.26/31.08.26/10.09.26/20.09.26/30.09.26/25.10.26</t>
  </si>
  <si>
    <t>LHS CER to ESP </t>
  </si>
  <si>
    <t>5 / 7 Foundations </t>
  </si>
  <si>
    <t>ID3A cable route-30.06.26/15.07.26/30.07.26/14.08.26/05.09.26/20.09.26/30.09.26/20.10.26 (last one after centre section removal)</t>
  </si>
  <si>
    <t>CER to Boiler </t>
  </si>
  <si>
    <t>Completed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</si>
  <si>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</si>
  <si>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</si>
  <si>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</si>
  <si>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cablings-30.07.26/20.08.26/10.09.26/15.09.26/30.09.26/31.10.26</t>
  </si>
  <si>
    <t>ESP to ESP Control Room (RHS) - RVPR</t>
  </si>
  <si>
    <t>ESP CR to ESP cablings – 30.07.26/14.08.26/31.08.26/10.09.26/25.09.26</t>
  </si>
  <si>
    <t>FD-3A</t>
  </si>
  <si>
    <t>In Progress</t>
  </si>
  <si>
    <t xml:space="preserve"> 30.08.26/30.09.26/15.10.26/30.10.26</t>
  </si>
  <si>
    <t>PA 3A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</si>
  <si>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</si>
  <si>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</si>
  <si>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</si>
  <si>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</si>
  <si>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Description</t>
  </si>
  <si>
    <t>Fig in crs</t>
  </si>
  <si>
    <t>Percentage</t>
  </si>
  <si>
    <t>RE</t>
  </si>
  <si>
    <t>Capex till Sep end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</si>
  <si>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</si>
  <si>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</si>
  <si>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</si>
  <si>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</si>
  <si>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</si>
  <si>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</si>
  <si>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</si>
  <si>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</si>
  <si>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</si>
  <si>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</si>
  <si>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</si>
  <si>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</si>
  <si>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</si>
  <si>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</si>
  <si>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</si>
  <si>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</si>
  <si>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</si>
  <si>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</si>
  <si>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</si>
  <si>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</si>
  <si>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</si>
  <si>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</si>
  <si>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</si>
  <si>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</si>
  <si>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</si>
  <si>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</si>
  <si>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</si>
  <si>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</si>
  <si>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</si>
  <si>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</si>
  <si>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</si>
  <si>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</si>
  <si>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</si>
  <si>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</si>
  <si>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</si>
  <si>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</si>
  <si>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</si>
  <si>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</si>
  <si>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</si>
  <si>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</si>
  <si>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</si>
  <si>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</si>
  <si>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</si>
  <si>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</si>
  <si>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</si>
  <si>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</si>
  <si>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</si>
  <si>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</si>
  <si>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</si>
  <si>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</si>
  <si>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</si>
  <si>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</si>
  <si>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</si>
  <si>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</si>
  <si>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</si>
  <si>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</si>
  <si>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</si>
  <si>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</si>
  <si>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</si>
  <si>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</si>
  <si>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</si>
  <si>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</si>
  <si>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</si>
  <si>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</si>
  <si>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</si>
  <si>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</si>
  <si>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</si>
  <si>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</si>
  <si>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</si>
  <si>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</si>
  <si>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</si>
  <si>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</si>
  <si>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</si>
  <si>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</si>
  <si>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</si>
  <si>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</si>
  <si>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</si>
  <si>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</si>
  <si>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</si>
  <si>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</si>
  <si>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</si>
  <si>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</si>
  <si>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</si>
  <si>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</si>
  <si>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</si>
  <si>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</si>
  <si>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</si>
  <si>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</si>
  <si>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</si>
  <si>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</si>
  <si>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</si>
  <si>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</si>
  <si>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</si>
  <si>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</si>
  <si>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</si>
  <si>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</si>
  <si>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</si>
  <si>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</si>
  <si>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</si>
  <si>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</si>
  <si>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</si>
  <si>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</si>
  <si>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</si>
  <si>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</si>
  <si>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</si>
  <si>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</si>
  <si>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</si>
  <si>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</si>
  <si>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</si>
  <si>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</si>
  <si>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</si>
  <si>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</si>
  <si>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</si>
  <si>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</si>
  <si>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</si>
  <si>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</si>
  <si>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</si>
  <si>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Total</t>
  </si>
  <si>
    <t>NAME PLATE RATING</t>
  </si>
  <si>
    <t>VOLTAGE LEVEL -KV</t>
  </si>
  <si>
    <t>Board charging date</t>
  </si>
  <si>
    <t>Motor trial dates</t>
  </si>
  <si>
    <t>Foundation completed</t>
  </si>
  <si>
    <t>Erected</t>
  </si>
  <si>
    <t>Commissioned</t>
  </si>
  <si>
    <t>MDBFP</t>
  </si>
  <si>
    <t>14600 KW</t>
  </si>
  <si>
    <t>Charged</t>
  </si>
  <si>
    <t>ID FAN</t>
  </si>
  <si>
    <t>14425 KW</t>
  </si>
  <si>
    <t>25.10.26/30.11.26</t>
  </si>
  <si>
    <t>FD FAN</t>
  </si>
  <si>
    <t>2800 KW</t>
  </si>
  <si>
    <t>PA FAN</t>
  </si>
  <si>
    <t>4825 KW</t>
  </si>
  <si>
    <t>30.09.26/10.10.26/30.10.26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</si>
  <si>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</si>
  <si>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</si>
  <si>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</si>
  <si>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</si>
  <si>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</si>
  <si>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</si>
  <si>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</si>
  <si>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</si>
  <si>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25.09.26/10.10.26/20.10.26/04.11.26</t>
  </si>
  <si>
    <t>05.10.26/20.10.26/25.10.26/20.11.26</t>
  </si>
  <si>
    <t>ECW PUMP (TG)</t>
  </si>
  <si>
    <t>200 KW</t>
  </si>
  <si>
    <t>10.10.26/20.10.26/04.11.26</t>
  </si>
  <si>
    <t>10.10.26/15.10.26/25.10.26/10.11.26</t>
  </si>
  <si>
    <t>ACW PUMP</t>
  </si>
  <si>
    <t>400 KW</t>
  </si>
  <si>
    <t>BOP Board</t>
  </si>
  <si>
    <t>HOGGING PUMP</t>
  </si>
  <si>
    <t>500 KW</t>
  </si>
  <si>
    <t>ECW PUMP SG</t>
  </si>
  <si>
    <t>160 KW</t>
  </si>
  <si>
    <t>10.10.26/15.10.26/31.10.26/20.11.26</t>
  </si>
  <si>
    <t>DRIP PUMP</t>
  </si>
  <si>
    <t>300 KW</t>
  </si>
  <si>
    <t>VACCUM PUMP</t>
  </si>
  <si>
    <t>630 KW</t>
  </si>
  <si>
    <t>3.3 KV Drives</t>
  </si>
  <si>
    <t>0/24 motor trial done till date</t>
  </si>
  <si>
    <t>GT</t>
  </si>
  <si>
    <t>3 nos</t>
  </si>
  <si>
    <t>UAT</t>
  </si>
  <si>
    <t>2 nos</t>
  </si>
  <si>
    <t>UT</t>
  </si>
  <si>
    <t>ST</t>
  </si>
  <si>
    <t>1 no</t>
  </si>
  <si>
    <t>11.10.26</t>
  </si>
  <si>
    <t>AHP MCC3</t>
  </si>
  <si>
    <t>ACC Fans</t>
  </si>
  <si>
    <t>72 nos</t>
  </si>
  <si>
    <t>Scanner air fans</t>
  </si>
  <si>
    <t xml:space="preserve">Seal air fans </t>
  </si>
  <si>
    <t>APH</t>
  </si>
  <si>
    <t>ESP Fields</t>
  </si>
  <si>
    <t>120 nos</t>
  </si>
  <si>
    <t>ESP CR transformer</t>
  </si>
  <si>
    <t>10 nos</t>
  </si>
  <si>
    <t>ACC transformer</t>
  </si>
  <si>
    <t>11 nos</t>
  </si>
  <si>
    <t>31.10.26 (Readiness for trial)</t>
  </si>
  <si>
    <t>30.09.26/10.10.26/25.10.26/31.10.26</t>
  </si>
  <si>
    <t>B board charged</t>
  </si>
  <si>
    <t>M&amp;S - Piping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</si>
</sst>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  <border>
      <left style="thin">
        <color rgb="FFC0D0E0"/>
      </left>
      <right style="thin">
        <color rgb="FFC0D0E0"/>
      </right>
      <top/>
      <bottom/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7" xfId="0" applyFont="1" applyFill="1" applyBorder="1" applyAlignment="1">
      <alignment horizontal="left" vertical="center"/>
    </xf>
    <xf numFmtId="0" fontId="14" fillId="7" borderId="0" xfId="0" applyFont="1" applyFill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000" b="1"/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10-11-26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15-12-26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tabSelected="1" workbookViewId="0">
      <selection activeCell="C10" sqref="C10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0</v>
      </c>
      <c r="B1" s="13" t="s">
        <v>1</v>
      </c>
      <c r="C1" s="13" t="s">
        <v>2</v>
      </c>
      <c r="D1" s="13" t="s">
        <v>3</v>
      </c>
    </row>
    <row r="2" spans="1:4" ht="16.5" thickBot="1" x14ac:dyDescent="0.3">
      <c r="A2" s="14" t="s">
        <v>4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25">
      <c r="A9" s="30" t="s">
        <v>11</v>
      </c>
      <c r="B9" s="30">
        <v>297</v>
      </c>
      <c r="C9" s="30">
        <v>994</v>
      </c>
      <c r="D9" s="31">
        <f>D8+C9</f>
        <v>5609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12</v>
      </c>
      <c r="B1" s="2" t="s">
        <v>13</v>
      </c>
    </row>
    <row r="2" spans="1:2" ht="16.5" thickBot="1" x14ac:dyDescent="0.3">
      <c r="A2" s="3" t="s">
        <v>14</v>
      </c>
      <c r="B2" s="4" t="s">
        <v>15</v>
      </c>
    </row>
    <row r="3" spans="1:2" ht="16.5" thickBot="1" x14ac:dyDescent="0.3">
      <c r="A3" s="5" t="s">
        <v>16</v>
      </c>
      <c r="B3" s="6" t="s">
        <v>17</v>
      </c>
    </row>
    <row r="4" spans="1:2" ht="16.5" thickBot="1" x14ac:dyDescent="0.3">
      <c r="A4" s="7" t="s">
        <v>18</v>
      </c>
      <c r="B4" s="4" t="s">
        <v>19</v>
      </c>
    </row>
    <row r="5" spans="1:2" ht="32.25" thickBot="1" x14ac:dyDescent="0.3">
      <c r="A5" s="5" t="s">
        <v>20</v>
      </c>
      <c r="B5" s="6" t="s">
        <v>21</v>
      </c>
    </row>
    <row r="6" spans="1:2" ht="16.5" thickBot="1" x14ac:dyDescent="0.3">
      <c r="A6" s="7" t="s">
        <v>22</v>
      </c>
      <c r="B6" s="4" t="s">
        <v>23</v>
      </c>
    </row>
    <row r="7" spans="1:2" ht="32.25" thickBot="1" x14ac:dyDescent="0.3">
      <c r="A7" s="5" t="s">
        <v>24</v>
      </c>
      <c r="B7" s="6" t="s">
        <v>25</v>
      </c>
    </row>
    <row r="8" spans="1:2" ht="16.5" thickBot="1" x14ac:dyDescent="0.3">
      <c r="A8" s="7" t="s">
        <v>26</v>
      </c>
      <c r="B8" s="4" t="s">
        <v>27</v>
      </c>
    </row>
    <row r="9" spans="1:2" ht="16.5" thickBot="1" x14ac:dyDescent="0.3">
      <c r="A9" s="5" t="s">
        <v>28</v>
      </c>
      <c r="B9" s="6" t="s">
        <v>29</v>
      </c>
    </row>
    <row r="10" spans="1:2" ht="16.5" thickBot="1" x14ac:dyDescent="0.3">
      <c r="A10" s="7" t="s">
        <v>30</v>
      </c>
      <c r="B10" s="4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8" sqref="C8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32</v>
      </c>
      <c r="B1" s="20" t="s">
        <v>33</v>
      </c>
      <c r="C1" s="21" t="s">
        <v>34</v>
      </c>
    </row>
    <row r="2" spans="1:3" ht="63.75" thickBot="1" x14ac:dyDescent="0.3">
      <c r="A2" s="23" t="s">
        <v>35</v>
      </c>
      <c r="B2" s="22" t="s">
        <v>36</v>
      </c>
      <c r="C2" s="24" t="s">
        <v>37</v>
      </c>
    </row>
    <row r="3" spans="1:3" ht="63.75" thickBot="1" x14ac:dyDescent="0.3">
      <c r="A3" s="23" t="s">
        <v>38</v>
      </c>
      <c r="B3" s="22" t="s">
        <v>39</v>
      </c>
      <c r="C3" s="24" t="s">
        <v>40</v>
      </c>
    </row>
    <row r="4" spans="1:3" ht="48" thickBot="1" x14ac:dyDescent="0.3">
      <c r="A4" s="23" t="s">
        <v>41</v>
      </c>
      <c r="B4" s="22" t="s">
        <v>42</v>
      </c>
      <c r="C4" s="24" t="s">
        <v>43</v>
      </c>
    </row>
    <row r="5" spans="1:3" ht="47.25" x14ac:dyDescent="0.25">
      <c r="A5" s="25" t="s">
        <v>44</v>
      </c>
      <c r="B5" s="26" t="s">
        <v>45</v>
      </c>
      <c r="C5" s="27" t="s">
        <v>46</v>
      </c>
    </row>
    <row r="6" spans="1:3" ht="47.25" x14ac:dyDescent="0.25">
      <c r="A6" s="28" t="s">
        <v>47</v>
      </c>
      <c r="B6" s="28" t="s">
        <v>42</v>
      </c>
      <c r="C6" s="28" t="s">
        <v>48</v>
      </c>
    </row>
    <row r="7" spans="1:3" ht="31.5" x14ac:dyDescent="0.25">
      <c r="A7" s="28" t="s">
        <v>49</v>
      </c>
      <c r="B7" s="28" t="s">
        <v>50</v>
      </c>
      <c r="C7" s="28" t="s">
        <v>51</v>
      </c>
    </row>
    <row r="8" spans="1:3" ht="15.75" x14ac:dyDescent="0.25">
      <c r="A8" s="28" t="s">
        <v>52</v>
      </c>
      <c r="B8" s="28" t="s">
        <v>42</v>
      </c>
      <c r="C8" s="28" t="s">
        <v>53</v>
      </c>
    </row>
    <row r="9" spans="1:3" ht="31.5" x14ac:dyDescent="0.25">
      <c r="A9" s="28" t="s">
        <v>54</v>
      </c>
      <c r="B9" s="28" t="s">
        <v>42</v>
      </c>
      <c r="C9" s="28" t="s">
        <v>55</v>
      </c>
    </row>
    <row r="10" spans="1:3" ht="15.75" x14ac:dyDescent="0.25">
      <c r="A10" s="28" t="s">
        <v>56</v>
      </c>
      <c r="B10" s="28" t="s">
        <v>42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57</v>
      </c>
      <c r="B1" t="s">
        <v>58</v>
      </c>
      <c r="C1" t="s">
        <v>59</v>
      </c>
    </row>
    <row r="2" spans="1:3" x14ac:dyDescent="0.25">
      <c r="A2" t="s">
        <v>60</v>
      </c>
      <c r="B2">
        <v>1448.3</v>
      </c>
      <c r="C2" s="18">
        <v>1</v>
      </c>
    </row>
    <row r="3" spans="1:3" x14ac:dyDescent="0.25">
      <c r="A3" t="s">
        <v>61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10"/>
  <sheetViews>
    <sheetView zoomScale="145" zoomScaleNormal="145" workbookViewId="0">
      <selection activeCell="C7" sqref="C7"/>
    </sheetView>
  </sheetViews>
  <sheetFormatPr defaultRowHeight="15" x14ac:dyDescent="0.25"/>
  <cols>
    <col min="1" max="1" width="27.7109375" customWidth="1"/>
    <col min="2" max="3" width="19.42578125" bestFit="1" customWidth="1"/>
    <col min="4" max="4" width="11.28515625" customWidth="1"/>
  </cols>
  <sheetData>
    <row r="1" spans="1:4" ht="30.75" thickBot="1" x14ac:dyDescent="0.3">
      <c r="A1" s="8" t="s">
        <v>62</v>
      </c>
      <c r="B1" s="9" t="s">
        <v>63</v>
      </c>
      <c r="C1" s="9" t="s">
        <v>64</v>
      </c>
      <c r="D1" s="9" t="s">
        <v>65</v>
      </c>
    </row>
    <row r="2" spans="1:4" x14ac:dyDescent="0.25">
      <c r="A2" s="10" t="s">
        <v>66</v>
      </c>
      <c r="B2" s="11">
        <v>1200</v>
      </c>
      <c r="C2" s="11">
        <v>741</v>
      </c>
      <c r="D2" s="11">
        <f>B2-C2</f>
        <v>459</v>
      </c>
    </row>
    <row r="3" spans="1:4" ht="15.75" thickBot="1" x14ac:dyDescent="0.3">
      <c r="A3" s="10" t="s">
        <v>67</v>
      </c>
      <c r="B3" s="11">
        <v>300</v>
      </c>
      <c r="C3" s="11">
        <v>207</v>
      </c>
      <c r="D3" s="11">
        <f t="shared" ref="D3:D10" si="0">B3-C3</f>
        <v>93</v>
      </c>
    </row>
    <row r="4" spans="1:4" ht="15.75" thickBot="1" x14ac:dyDescent="0.3">
      <c r="A4" s="10" t="s">
        <v>249</v>
      </c>
      <c r="B4" s="11">
        <v>200</v>
      </c>
      <c r="C4" s="11">
        <v>75</v>
      </c>
      <c r="D4" s="11">
        <f t="shared" si="0"/>
        <v>125</v>
      </c>
    </row>
    <row r="5" spans="1:4" ht="15.75" thickBot="1" x14ac:dyDescent="0.3">
      <c r="A5" s="10" t="s">
        <v>68</v>
      </c>
      <c r="B5" s="12">
        <v>400</v>
      </c>
      <c r="C5" s="12">
        <v>229</v>
      </c>
      <c r="D5" s="11">
        <f t="shared" si="0"/>
        <v>171</v>
      </c>
    </row>
    <row r="6" spans="1:4" x14ac:dyDescent="0.25">
      <c r="A6" s="10" t="s">
        <v>69</v>
      </c>
      <c r="B6" s="12">
        <v>400</v>
      </c>
      <c r="C6" s="12">
        <v>296</v>
      </c>
      <c r="D6" s="11">
        <f t="shared" si="0"/>
        <v>104</v>
      </c>
    </row>
    <row r="7" spans="1:4" x14ac:dyDescent="0.25">
      <c r="A7" s="10" t="s">
        <v>70</v>
      </c>
      <c r="B7" s="12">
        <v>250</v>
      </c>
      <c r="C7" s="12">
        <v>198</v>
      </c>
      <c r="D7" s="11">
        <f t="shared" si="0"/>
        <v>52</v>
      </c>
    </row>
    <row r="8" spans="1:4" x14ac:dyDescent="0.25">
      <c r="A8" s="10" t="s">
        <v>71</v>
      </c>
      <c r="B8" s="12">
        <v>100</v>
      </c>
      <c r="C8" s="12">
        <v>72</v>
      </c>
      <c r="D8" s="11">
        <f t="shared" si="0"/>
        <v>28</v>
      </c>
    </row>
    <row r="9" spans="1:4" x14ac:dyDescent="0.25">
      <c r="A9" s="10" t="s">
        <v>72</v>
      </c>
      <c r="B9" s="12">
        <v>100</v>
      </c>
      <c r="C9" s="12">
        <v>66</v>
      </c>
      <c r="D9" s="11">
        <f t="shared" si="0"/>
        <v>34</v>
      </c>
    </row>
    <row r="10" spans="1:4" ht="15.75" thickBot="1" x14ac:dyDescent="0.3">
      <c r="A10" s="10" t="s">
        <v>73</v>
      </c>
      <c r="B10" s="12">
        <f>SUM(B2:B9)</f>
        <v>2950</v>
      </c>
      <c r="C10" s="12">
        <f>SUM(C2:C9)</f>
        <v>1884</v>
      </c>
      <c r="D10" s="11">
        <f t="shared" si="0"/>
        <v>1066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H9" sqref="H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39" customFormat="1" ht="42.75" customHeight="1" x14ac:dyDescent="0.25">
      <c r="A1" s="37" t="s">
        <v>74</v>
      </c>
      <c r="B1" s="37" t="s">
        <v>75</v>
      </c>
      <c r="C1" s="37" t="s">
        <v>76</v>
      </c>
      <c r="D1" s="37" t="s">
        <v>77</v>
      </c>
      <c r="E1" s="37" t="s">
        <v>78</v>
      </c>
      <c r="F1" s="37" t="s">
        <v>79</v>
      </c>
      <c r="G1" s="37" t="s">
        <v>80</v>
      </c>
      <c r="H1" s="37" t="s">
        <v>81</v>
      </c>
      <c r="I1" s="39" t="s">
        <v>82</v>
      </c>
      <c r="J1" s="39" t="s">
        <v>83</v>
      </c>
      <c r="K1" s="39" t="s">
        <v>84</v>
      </c>
      <c r="L1" s="39" t="s">
        <v>85</v>
      </c>
    </row>
    <row r="2" spans="1:12" ht="15.75" x14ac:dyDescent="0.25">
      <c r="A2" s="35" t="s">
        <v>86</v>
      </c>
      <c r="B2" s="35" t="s">
        <v>87</v>
      </c>
      <c r="C2" s="35" t="s">
        <v>88</v>
      </c>
      <c r="D2" s="35" t="s">
        <v>89</v>
      </c>
      <c r="E2" s="35" t="s">
        <v>90</v>
      </c>
      <c r="F2" s="35" t="s">
        <v>91</v>
      </c>
      <c r="G2" s="35" t="s">
        <v>92</v>
      </c>
      <c r="H2" s="35" t="s">
        <v>92</v>
      </c>
    </row>
    <row r="3" spans="1:12" ht="15.75" x14ac:dyDescent="0.25">
      <c r="A3" s="35" t="s">
        <v>93</v>
      </c>
      <c r="B3" s="35" t="s">
        <v>94</v>
      </c>
      <c r="C3" s="35" t="s">
        <v>95</v>
      </c>
      <c r="D3" s="35" t="s">
        <v>91</v>
      </c>
      <c r="E3" s="35" t="s">
        <v>96</v>
      </c>
      <c r="F3" s="35" t="s">
        <v>96</v>
      </c>
      <c r="G3" s="35" t="s">
        <v>97</v>
      </c>
      <c r="H3" s="35" t="s">
        <v>98</v>
      </c>
    </row>
    <row r="4" spans="1:12" ht="15.75" x14ac:dyDescent="0.25">
      <c r="A4" s="35" t="s">
        <v>93</v>
      </c>
      <c r="B4" s="35" t="s">
        <v>99</v>
      </c>
      <c r="C4" s="35" t="s">
        <v>100</v>
      </c>
      <c r="D4" s="35" t="s">
        <v>101</v>
      </c>
      <c r="E4" s="35" t="s">
        <v>102</v>
      </c>
      <c r="F4" s="35" t="s">
        <v>102</v>
      </c>
      <c r="G4" s="35" t="s">
        <v>92</v>
      </c>
      <c r="H4" s="35" t="s">
        <v>103</v>
      </c>
    </row>
    <row r="5" spans="1:12" ht="15.75" x14ac:dyDescent="0.25">
      <c r="A5" s="35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5" t="s">
        <v>109</v>
      </c>
      <c r="G5" s="35" t="s">
        <v>89</v>
      </c>
      <c r="H5" s="35" t="s">
        <v>110</v>
      </c>
    </row>
    <row r="6" spans="1:12" ht="15.75" x14ac:dyDescent="0.25">
      <c r="A6" s="35" t="s">
        <v>111</v>
      </c>
      <c r="B6" s="35" t="s">
        <v>112</v>
      </c>
      <c r="C6" s="35" t="s">
        <v>113</v>
      </c>
      <c r="D6" s="35" t="s">
        <v>114</v>
      </c>
      <c r="E6" s="35" t="s">
        <v>115</v>
      </c>
      <c r="F6" s="35" t="s">
        <v>86</v>
      </c>
      <c r="G6" s="35" t="s">
        <v>116</v>
      </c>
      <c r="H6" s="35" t="s">
        <v>93</v>
      </c>
    </row>
    <row r="7" spans="1:12" ht="15.75" x14ac:dyDescent="0.25">
      <c r="A7" s="35" t="s">
        <v>97</v>
      </c>
      <c r="B7" s="35" t="s">
        <v>117</v>
      </c>
      <c r="C7" s="35" t="s">
        <v>118</v>
      </c>
      <c r="D7" s="35" t="s">
        <v>119</v>
      </c>
      <c r="E7" s="35" t="s">
        <v>120</v>
      </c>
      <c r="F7" s="35" t="s">
        <v>104</v>
      </c>
      <c r="G7" s="35" t="s">
        <v>120</v>
      </c>
      <c r="H7" s="35" t="s">
        <v>104</v>
      </c>
    </row>
    <row r="8" spans="1:12" ht="15.75" x14ac:dyDescent="0.25">
      <c r="A8" s="35" t="s">
        <v>96</v>
      </c>
      <c r="B8" s="35" t="s">
        <v>121</v>
      </c>
      <c r="C8" s="35" t="s">
        <v>122</v>
      </c>
      <c r="D8" s="35" t="s">
        <v>123</v>
      </c>
      <c r="E8" s="35" t="s">
        <v>123</v>
      </c>
      <c r="F8" s="35" t="s">
        <v>124</v>
      </c>
      <c r="G8" s="35" t="s">
        <v>123</v>
      </c>
      <c r="H8" s="35" t="s">
        <v>124</v>
      </c>
    </row>
    <row r="9" spans="1:12" ht="15.75" x14ac:dyDescent="0.25">
      <c r="A9" s="35" t="s">
        <v>98</v>
      </c>
      <c r="B9" s="35" t="s">
        <v>125</v>
      </c>
      <c r="C9" s="35" t="s">
        <v>126</v>
      </c>
      <c r="D9" s="35" t="s">
        <v>127</v>
      </c>
      <c r="E9" s="35" t="s">
        <v>128</v>
      </c>
      <c r="F9" s="35" t="s">
        <v>128</v>
      </c>
      <c r="G9" s="35" t="s">
        <v>98</v>
      </c>
      <c r="H9" s="35" t="s">
        <v>129</v>
      </c>
    </row>
    <row r="10" spans="1:12" ht="15.75" x14ac:dyDescent="0.25">
      <c r="A10" s="35" t="s">
        <v>130</v>
      </c>
      <c r="B10" s="35" t="s">
        <v>131</v>
      </c>
      <c r="C10" s="35" t="s">
        <v>132</v>
      </c>
      <c r="D10" s="35" t="s">
        <v>127</v>
      </c>
      <c r="E10" s="35" t="s">
        <v>124</v>
      </c>
      <c r="F10" s="35" t="s">
        <v>127</v>
      </c>
      <c r="G10" s="35" t="s">
        <v>124</v>
      </c>
      <c r="H10" s="35" t="s">
        <v>127</v>
      </c>
    </row>
    <row r="11" spans="1:12" ht="15.75" x14ac:dyDescent="0.25">
      <c r="A11" s="35" t="s">
        <v>133</v>
      </c>
      <c r="B11" s="35" t="s">
        <v>134</v>
      </c>
      <c r="C11" s="38" t="s">
        <v>135</v>
      </c>
      <c r="D11" s="38" t="s">
        <v>136</v>
      </c>
      <c r="E11" s="38" t="s">
        <v>124</v>
      </c>
      <c r="F11" s="38" t="s">
        <v>136</v>
      </c>
      <c r="G11" s="38" t="s">
        <v>124</v>
      </c>
      <c r="H11" s="38" t="s">
        <v>136</v>
      </c>
    </row>
    <row r="12" spans="1:12" ht="15.75" x14ac:dyDescent="0.25">
      <c r="A12" s="35" t="s">
        <v>123</v>
      </c>
      <c r="B12" s="35" t="s">
        <v>137</v>
      </c>
      <c r="C12" s="38" t="s">
        <v>138</v>
      </c>
      <c r="D12" s="38" t="s">
        <v>96</v>
      </c>
      <c r="E12" s="38" t="s">
        <v>124</v>
      </c>
      <c r="F12" s="38" t="s">
        <v>96</v>
      </c>
      <c r="G12" s="38" t="s">
        <v>124</v>
      </c>
      <c r="H12" s="38" t="s">
        <v>96</v>
      </c>
    </row>
    <row r="13" spans="1:12" ht="15.75" x14ac:dyDescent="0.25">
      <c r="A13" s="35" t="s">
        <v>128</v>
      </c>
      <c r="B13" s="35" t="s">
        <v>139</v>
      </c>
      <c r="C13" s="38" t="s">
        <v>140</v>
      </c>
      <c r="D13" s="38" t="s">
        <v>93</v>
      </c>
      <c r="E13" s="38" t="s">
        <v>86</v>
      </c>
      <c r="F13" s="38" t="s">
        <v>86</v>
      </c>
      <c r="G13" s="38" t="s">
        <v>86</v>
      </c>
      <c r="H13" s="38" t="s">
        <v>86</v>
      </c>
    </row>
    <row r="14" spans="1:12" ht="15.75" x14ac:dyDescent="0.25">
      <c r="A14" s="35" t="s">
        <v>91</v>
      </c>
      <c r="B14" s="35" t="s">
        <v>141</v>
      </c>
      <c r="C14" s="35" t="s">
        <v>142</v>
      </c>
      <c r="D14" s="35" t="s">
        <v>116</v>
      </c>
      <c r="E14" s="35" t="s">
        <v>92</v>
      </c>
      <c r="F14" s="35" t="s">
        <v>120</v>
      </c>
      <c r="G14" s="35" t="s">
        <v>92</v>
      </c>
      <c r="H14" s="35" t="s">
        <v>120</v>
      </c>
    </row>
    <row r="15" spans="1:12" ht="15.75" x14ac:dyDescent="0.25">
      <c r="A15" s="35" t="s">
        <v>92</v>
      </c>
      <c r="B15" s="35" t="s">
        <v>143</v>
      </c>
      <c r="C15" s="35" t="s">
        <v>144</v>
      </c>
      <c r="D15" s="35" t="s">
        <v>145</v>
      </c>
      <c r="E15" s="35" t="s">
        <v>96</v>
      </c>
      <c r="F15" s="35" t="s">
        <v>114</v>
      </c>
      <c r="G15" s="35" t="s">
        <v>96</v>
      </c>
      <c r="H15" s="35" t="s">
        <v>114</v>
      </c>
    </row>
    <row r="16" spans="1:12" ht="15.75" x14ac:dyDescent="0.25">
      <c r="A16" s="35" t="s">
        <v>90</v>
      </c>
      <c r="B16" s="35" t="s">
        <v>146</v>
      </c>
      <c r="C16" s="38" t="s">
        <v>147</v>
      </c>
      <c r="D16" s="38" t="s">
        <v>109</v>
      </c>
      <c r="E16" s="38" t="s">
        <v>91</v>
      </c>
      <c r="F16" s="38" t="s">
        <v>148</v>
      </c>
      <c r="G16" s="38" t="s">
        <v>91</v>
      </c>
      <c r="H16" s="38" t="s">
        <v>148</v>
      </c>
    </row>
    <row r="17" spans="1:8" ht="15.75" x14ac:dyDescent="0.25">
      <c r="A17" s="35" t="s">
        <v>129</v>
      </c>
      <c r="B17" s="35" t="s">
        <v>149</v>
      </c>
      <c r="C17" s="38" t="s">
        <v>150</v>
      </c>
      <c r="D17" s="38" t="s">
        <v>151</v>
      </c>
      <c r="E17" s="38" t="s">
        <v>152</v>
      </c>
      <c r="F17" s="38" t="s">
        <v>153</v>
      </c>
      <c r="G17" s="38" t="s">
        <v>119</v>
      </c>
      <c r="H17" s="38" t="s">
        <v>154</v>
      </c>
    </row>
    <row r="18" spans="1:8" ht="15.75" x14ac:dyDescent="0.25">
      <c r="A18" s="35" t="s">
        <v>155</v>
      </c>
      <c r="B18" s="35" t="s">
        <v>156</v>
      </c>
      <c r="C18" s="35" t="s">
        <v>157</v>
      </c>
      <c r="D18" s="35" t="s">
        <v>130</v>
      </c>
      <c r="E18" s="35" t="s">
        <v>130</v>
      </c>
      <c r="F18" s="35" t="s">
        <v>124</v>
      </c>
      <c r="G18" s="35" t="s">
        <v>130</v>
      </c>
      <c r="H18" s="35" t="s">
        <v>124</v>
      </c>
    </row>
    <row r="19" spans="1:8" ht="31.5" x14ac:dyDescent="0.25">
      <c r="A19" s="35" t="s">
        <v>120</v>
      </c>
      <c r="B19" s="35" t="s">
        <v>158</v>
      </c>
      <c r="C19" s="35" t="s">
        <v>159</v>
      </c>
      <c r="D19" s="35" t="s">
        <v>160</v>
      </c>
      <c r="E19" s="35" t="s">
        <v>97</v>
      </c>
      <c r="F19" s="35" t="s">
        <v>90</v>
      </c>
      <c r="G19" s="35" t="s">
        <v>104</v>
      </c>
      <c r="H19" s="35" t="s">
        <v>155</v>
      </c>
    </row>
    <row r="20" spans="1:8" ht="15.75" x14ac:dyDescent="0.25">
      <c r="A20" s="35" t="s">
        <v>160</v>
      </c>
      <c r="B20" s="35" t="s">
        <v>161</v>
      </c>
      <c r="C20" s="35" t="s">
        <v>162</v>
      </c>
      <c r="D20" s="35" t="s">
        <v>96</v>
      </c>
      <c r="E20" s="35" t="s">
        <v>86</v>
      </c>
      <c r="F20" s="35" t="s">
        <v>97</v>
      </c>
      <c r="G20" s="35" t="s">
        <v>124</v>
      </c>
      <c r="H20" s="35" t="s">
        <v>96</v>
      </c>
    </row>
    <row r="21" spans="1:8" ht="15.75" x14ac:dyDescent="0.25">
      <c r="A21" s="35" t="s">
        <v>119</v>
      </c>
      <c r="B21" s="35" t="s">
        <v>163</v>
      </c>
      <c r="C21" s="35" t="s">
        <v>164</v>
      </c>
      <c r="D21" s="35" t="s">
        <v>136</v>
      </c>
      <c r="E21" s="35" t="s">
        <v>119</v>
      </c>
      <c r="F21" s="35" t="s">
        <v>165</v>
      </c>
      <c r="G21" s="35" t="s">
        <v>124</v>
      </c>
      <c r="H21" s="35" t="s">
        <v>136</v>
      </c>
    </row>
    <row r="22" spans="1:8" ht="15.75" x14ac:dyDescent="0.25">
      <c r="A22" s="36"/>
      <c r="B22" s="36"/>
      <c r="C22" s="37" t="s">
        <v>77</v>
      </c>
      <c r="D22" s="37" t="s">
        <v>166</v>
      </c>
      <c r="E22" s="37" t="s">
        <v>167</v>
      </c>
      <c r="F22" s="37" t="s">
        <v>168</v>
      </c>
      <c r="G22" s="37" t="s">
        <v>169</v>
      </c>
      <c r="H22" s="37" t="s">
        <v>170</v>
      </c>
    </row>
    <row r="23" spans="1:8" ht="31.5" hidden="1" x14ac:dyDescent="0.25">
      <c r="A23" s="33"/>
      <c r="B23" s="33"/>
      <c r="C23" s="34" t="s">
        <v>171</v>
      </c>
      <c r="D23" s="33"/>
      <c r="E23" s="34" t="s">
        <v>172</v>
      </c>
      <c r="F23" s="34" t="s">
        <v>173</v>
      </c>
      <c r="G23" s="34" t="s">
        <v>174</v>
      </c>
      <c r="H23" s="34" t="s">
        <v>175</v>
      </c>
    </row>
    <row r="303" spans="23:23" x14ac:dyDescent="0.25">
      <c r="W303" t="s">
        <v>176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J31"/>
  <sheetViews>
    <sheetView workbookViewId="0">
      <selection activeCell="F5" sqref="F5:F7"/>
    </sheetView>
  </sheetViews>
  <sheetFormatPr defaultRowHeight="15" x14ac:dyDescent="0.25"/>
  <cols>
    <col min="2" max="2" width="14.85546875" bestFit="1" customWidth="1"/>
    <col min="3" max="3" width="14.85546875" customWidth="1"/>
    <col min="4" max="4" width="17.5703125" bestFit="1" customWidth="1"/>
    <col min="5" max="5" width="16.5703125" bestFit="1" customWidth="1"/>
    <col min="6" max="6" width="22.42578125" bestFit="1" customWidth="1"/>
    <col min="7" max="7" width="27.7109375" bestFit="1" customWidth="1"/>
    <col min="8" max="8" width="19" bestFit="1" customWidth="1"/>
    <col min="10" max="10" width="20.42578125" customWidth="1"/>
  </cols>
  <sheetData>
    <row r="1" spans="1:10" x14ac:dyDescent="0.25">
      <c r="A1" s="42" t="s">
        <v>177</v>
      </c>
      <c r="B1" s="42" t="s">
        <v>178</v>
      </c>
      <c r="C1" s="42" t="s">
        <v>179</v>
      </c>
      <c r="D1" s="42" t="s">
        <v>180</v>
      </c>
      <c r="E1" s="42" t="s">
        <v>181</v>
      </c>
      <c r="F1" s="42" t="s">
        <v>182</v>
      </c>
      <c r="G1" s="42" t="s">
        <v>183</v>
      </c>
      <c r="H1" s="42" t="s">
        <v>184</v>
      </c>
      <c r="I1" s="42" t="s">
        <v>185</v>
      </c>
      <c r="J1" s="42" t="s">
        <v>186</v>
      </c>
    </row>
    <row r="2" spans="1:10" x14ac:dyDescent="0.25">
      <c r="A2" s="43"/>
      <c r="B2" s="43"/>
      <c r="C2" s="43"/>
      <c r="D2" s="43"/>
      <c r="E2" s="43"/>
      <c r="F2" s="43"/>
      <c r="G2" s="43"/>
      <c r="H2" s="43"/>
      <c r="I2" s="43"/>
      <c r="J2" s="43"/>
    </row>
    <row r="3" spans="1:10" x14ac:dyDescent="0.25">
      <c r="A3" s="43"/>
      <c r="B3" s="43"/>
      <c r="C3" s="43"/>
      <c r="D3" s="43"/>
      <c r="E3" s="43"/>
      <c r="F3" s="43"/>
      <c r="G3" s="43"/>
      <c r="H3" s="43"/>
      <c r="I3" s="43"/>
      <c r="J3" s="43"/>
    </row>
    <row r="4" spans="1:10" x14ac:dyDescent="0.25">
      <c r="A4" s="32">
        <v>1</v>
      </c>
      <c r="B4" s="32" t="s">
        <v>187</v>
      </c>
      <c r="C4" s="32">
        <v>1</v>
      </c>
      <c r="D4" s="32" t="s">
        <v>188</v>
      </c>
      <c r="E4" s="32">
        <v>11</v>
      </c>
      <c r="F4" s="32" t="s">
        <v>189</v>
      </c>
      <c r="G4" s="32" t="s">
        <v>246</v>
      </c>
      <c r="H4" s="41">
        <v>1</v>
      </c>
      <c r="I4" s="41">
        <v>1</v>
      </c>
      <c r="J4" s="41">
        <v>0</v>
      </c>
    </row>
    <row r="5" spans="1:10" x14ac:dyDescent="0.25">
      <c r="A5" s="32">
        <v>2</v>
      </c>
      <c r="B5" s="32" t="s">
        <v>190</v>
      </c>
      <c r="C5" s="32">
        <v>2</v>
      </c>
      <c r="D5" s="32" t="s">
        <v>191</v>
      </c>
      <c r="E5" s="32">
        <v>11</v>
      </c>
      <c r="F5" s="32" t="s">
        <v>248</v>
      </c>
      <c r="G5" s="32" t="s">
        <v>192</v>
      </c>
      <c r="H5" s="41">
        <v>2</v>
      </c>
      <c r="I5" s="41">
        <v>2</v>
      </c>
      <c r="J5" s="41">
        <v>0</v>
      </c>
    </row>
    <row r="6" spans="1:10" x14ac:dyDescent="0.25">
      <c r="A6" s="32">
        <v>3</v>
      </c>
      <c r="B6" s="32" t="s">
        <v>193</v>
      </c>
      <c r="C6" s="32">
        <v>2</v>
      </c>
      <c r="D6" s="32" t="s">
        <v>194</v>
      </c>
      <c r="E6" s="32">
        <v>11</v>
      </c>
      <c r="F6" s="32" t="s">
        <v>248</v>
      </c>
      <c r="G6" s="32" t="s">
        <v>247</v>
      </c>
      <c r="H6" s="41">
        <v>1</v>
      </c>
      <c r="I6" s="41">
        <v>1</v>
      </c>
      <c r="J6" s="41">
        <v>0</v>
      </c>
    </row>
    <row r="7" spans="1:10" x14ac:dyDescent="0.25">
      <c r="A7" s="32">
        <v>4</v>
      </c>
      <c r="B7" s="32" t="s">
        <v>195</v>
      </c>
      <c r="C7" s="32">
        <v>2</v>
      </c>
      <c r="D7" s="32" t="s">
        <v>196</v>
      </c>
      <c r="E7" s="32">
        <v>11</v>
      </c>
      <c r="F7" s="32" t="s">
        <v>248</v>
      </c>
      <c r="G7" s="32" t="s">
        <v>197</v>
      </c>
      <c r="H7" s="41">
        <v>2</v>
      </c>
      <c r="I7" s="41">
        <v>1</v>
      </c>
      <c r="J7" s="41">
        <v>0</v>
      </c>
    </row>
    <row r="8" spans="1:10" x14ac:dyDescent="0.25">
      <c r="A8" s="32">
        <v>5</v>
      </c>
      <c r="B8" s="32" t="s">
        <v>198</v>
      </c>
      <c r="C8" s="32">
        <v>3</v>
      </c>
      <c r="D8" s="32" t="s">
        <v>199</v>
      </c>
      <c r="E8" s="32">
        <v>11</v>
      </c>
      <c r="F8" s="32"/>
      <c r="G8" s="32"/>
      <c r="H8" s="41">
        <v>3</v>
      </c>
      <c r="I8" s="41">
        <v>0</v>
      </c>
      <c r="J8" s="41">
        <v>0</v>
      </c>
    </row>
    <row r="9" spans="1:10" x14ac:dyDescent="0.25">
      <c r="A9" s="32"/>
      <c r="B9" s="44" t="s">
        <v>200</v>
      </c>
      <c r="C9" s="45"/>
      <c r="D9" s="45"/>
      <c r="E9" s="46"/>
      <c r="F9" s="32" t="s">
        <v>201</v>
      </c>
      <c r="G9" s="32"/>
      <c r="H9" s="41"/>
      <c r="I9" s="41"/>
      <c r="J9" s="41"/>
    </row>
    <row r="10" spans="1:10" x14ac:dyDescent="0.25">
      <c r="A10" s="32">
        <v>6</v>
      </c>
      <c r="B10" s="32" t="s">
        <v>202</v>
      </c>
      <c r="C10" s="32">
        <v>9</v>
      </c>
      <c r="D10" s="32" t="s">
        <v>203</v>
      </c>
      <c r="E10" s="32">
        <v>3.3</v>
      </c>
      <c r="F10" s="32"/>
      <c r="G10" s="32"/>
      <c r="H10" s="41">
        <v>9</v>
      </c>
      <c r="I10" s="41">
        <v>9</v>
      </c>
      <c r="J10" s="41">
        <v>0</v>
      </c>
    </row>
    <row r="11" spans="1:10" x14ac:dyDescent="0.25">
      <c r="A11" s="32">
        <v>7</v>
      </c>
      <c r="B11" s="32" t="s">
        <v>204</v>
      </c>
      <c r="C11" s="32">
        <v>1</v>
      </c>
      <c r="D11" s="32" t="s">
        <v>205</v>
      </c>
      <c r="E11" s="32">
        <v>3.3</v>
      </c>
      <c r="F11" s="32" t="s">
        <v>206</v>
      </c>
      <c r="G11" s="32" t="s">
        <v>207</v>
      </c>
      <c r="H11" s="41">
        <v>1</v>
      </c>
      <c r="I11" s="41">
        <v>1</v>
      </c>
      <c r="J11" s="41">
        <v>0</v>
      </c>
    </row>
    <row r="12" spans="1:10" x14ac:dyDescent="0.25">
      <c r="A12" s="32">
        <v>8</v>
      </c>
      <c r="B12" s="32" t="s">
        <v>208</v>
      </c>
      <c r="C12" s="32">
        <v>3</v>
      </c>
      <c r="D12" s="32" t="s">
        <v>209</v>
      </c>
      <c r="E12" s="32">
        <v>3.3</v>
      </c>
      <c r="F12" s="32" t="s">
        <v>210</v>
      </c>
      <c r="G12" s="32" t="s">
        <v>211</v>
      </c>
      <c r="H12" s="41">
        <v>3</v>
      </c>
      <c r="I12" s="41">
        <v>3</v>
      </c>
      <c r="J12" s="41">
        <v>0</v>
      </c>
    </row>
    <row r="13" spans="1:10" x14ac:dyDescent="0.25">
      <c r="A13" s="32">
        <v>9</v>
      </c>
      <c r="B13" s="32" t="s">
        <v>212</v>
      </c>
      <c r="C13" s="32">
        <v>3</v>
      </c>
      <c r="D13" s="32" t="s">
        <v>213</v>
      </c>
      <c r="E13" s="32">
        <v>3.3</v>
      </c>
      <c r="F13" s="32" t="s">
        <v>214</v>
      </c>
      <c r="G13" s="32"/>
      <c r="H13" s="41">
        <v>3</v>
      </c>
      <c r="I13" s="41">
        <v>3</v>
      </c>
      <c r="J13" s="41">
        <v>1</v>
      </c>
    </row>
    <row r="14" spans="1:10" x14ac:dyDescent="0.25">
      <c r="A14" s="32">
        <v>10</v>
      </c>
      <c r="B14" s="32" t="s">
        <v>215</v>
      </c>
      <c r="C14" s="32">
        <v>2</v>
      </c>
      <c r="D14" s="32" t="s">
        <v>216</v>
      </c>
      <c r="E14" s="32">
        <v>3.3</v>
      </c>
      <c r="F14" s="32"/>
      <c r="G14" s="32"/>
      <c r="H14" s="41">
        <v>2</v>
      </c>
      <c r="I14" s="41">
        <v>2</v>
      </c>
      <c r="J14" s="41">
        <v>0</v>
      </c>
    </row>
    <row r="15" spans="1:10" x14ac:dyDescent="0.25">
      <c r="A15" s="32">
        <v>11</v>
      </c>
      <c r="B15" s="32" t="s">
        <v>217</v>
      </c>
      <c r="C15" s="32">
        <v>2</v>
      </c>
      <c r="D15" s="32" t="s">
        <v>218</v>
      </c>
      <c r="E15" s="32">
        <v>3.3</v>
      </c>
      <c r="F15" s="32" t="s">
        <v>210</v>
      </c>
      <c r="G15" s="32" t="s">
        <v>219</v>
      </c>
      <c r="H15" s="41">
        <v>2</v>
      </c>
      <c r="I15" s="41">
        <v>2</v>
      </c>
      <c r="J15" s="41">
        <v>0</v>
      </c>
    </row>
    <row r="16" spans="1:10" x14ac:dyDescent="0.25">
      <c r="A16" s="32">
        <v>12</v>
      </c>
      <c r="B16" s="32" t="s">
        <v>220</v>
      </c>
      <c r="C16" s="32">
        <v>2</v>
      </c>
      <c r="D16" s="32" t="s">
        <v>221</v>
      </c>
      <c r="E16" s="32">
        <v>3.3</v>
      </c>
      <c r="F16" s="32"/>
      <c r="G16" s="32"/>
      <c r="H16" s="41">
        <v>2</v>
      </c>
      <c r="I16" s="41">
        <v>0</v>
      </c>
      <c r="J16" s="41">
        <v>0</v>
      </c>
    </row>
    <row r="17" spans="1:10" x14ac:dyDescent="0.25">
      <c r="A17" s="32">
        <v>13</v>
      </c>
      <c r="B17" s="32" t="s">
        <v>222</v>
      </c>
      <c r="C17" s="32">
        <v>2</v>
      </c>
      <c r="D17" s="32" t="s">
        <v>223</v>
      </c>
      <c r="E17" s="32">
        <v>3.3</v>
      </c>
      <c r="F17" s="32"/>
      <c r="G17" s="32"/>
      <c r="H17" s="41">
        <v>2</v>
      </c>
      <c r="I17" s="41">
        <v>2</v>
      </c>
      <c r="J17" s="41">
        <v>0</v>
      </c>
    </row>
    <row r="18" spans="1:10" x14ac:dyDescent="0.25">
      <c r="A18" s="32"/>
      <c r="B18" s="32" t="s">
        <v>224</v>
      </c>
      <c r="C18" s="32"/>
      <c r="D18" s="32"/>
      <c r="E18" s="32"/>
      <c r="F18" s="32" t="s">
        <v>225</v>
      </c>
      <c r="G18" s="32"/>
      <c r="H18" s="41"/>
      <c r="I18" s="41"/>
      <c r="J18" s="41"/>
    </row>
    <row r="19" spans="1:10" x14ac:dyDescent="0.25">
      <c r="A19" s="32"/>
      <c r="B19" s="32"/>
      <c r="G19" s="32"/>
      <c r="H19" s="41"/>
      <c r="I19" s="41"/>
      <c r="J19" s="41"/>
    </row>
    <row r="20" spans="1:10" x14ac:dyDescent="0.25">
      <c r="A20" s="32">
        <v>14</v>
      </c>
      <c r="B20" s="32" t="s">
        <v>226</v>
      </c>
      <c r="C20" s="32" t="s">
        <v>227</v>
      </c>
      <c r="G20" s="32"/>
      <c r="H20" s="41">
        <v>0</v>
      </c>
      <c r="I20" s="41">
        <v>0</v>
      </c>
      <c r="J20" s="41">
        <v>0</v>
      </c>
    </row>
    <row r="21" spans="1:10" x14ac:dyDescent="0.25">
      <c r="A21" s="32">
        <v>15</v>
      </c>
      <c r="B21" s="32" t="s">
        <v>228</v>
      </c>
      <c r="C21" s="32" t="s">
        <v>229</v>
      </c>
      <c r="G21" s="32"/>
      <c r="H21" s="41">
        <v>1</v>
      </c>
      <c r="I21" s="41">
        <v>1</v>
      </c>
      <c r="J21" s="41">
        <v>0</v>
      </c>
    </row>
    <row r="22" spans="1:10" x14ac:dyDescent="0.25">
      <c r="A22" s="32">
        <v>16</v>
      </c>
      <c r="B22" s="32" t="s">
        <v>230</v>
      </c>
      <c r="C22" s="32" t="s">
        <v>229</v>
      </c>
      <c r="G22" s="32"/>
      <c r="H22" s="41">
        <v>0</v>
      </c>
      <c r="I22" s="41">
        <v>0</v>
      </c>
      <c r="J22" s="41">
        <v>0</v>
      </c>
    </row>
    <row r="23" spans="1:10" x14ac:dyDescent="0.25">
      <c r="A23" s="32">
        <v>17</v>
      </c>
      <c r="B23" s="32" t="s">
        <v>231</v>
      </c>
      <c r="C23" s="32" t="s">
        <v>232</v>
      </c>
      <c r="G23" s="32" t="s">
        <v>233</v>
      </c>
      <c r="H23" s="41">
        <v>1</v>
      </c>
      <c r="I23" s="41">
        <v>1</v>
      </c>
      <c r="J23" s="41">
        <v>1</v>
      </c>
    </row>
    <row r="24" spans="1:10" x14ac:dyDescent="0.25">
      <c r="A24" s="32">
        <v>18</v>
      </c>
      <c r="B24" s="32" t="s">
        <v>234</v>
      </c>
      <c r="C24" s="32" t="s">
        <v>229</v>
      </c>
      <c r="G24" s="32"/>
      <c r="H24" s="41">
        <v>0</v>
      </c>
      <c r="I24" s="41">
        <v>0</v>
      </c>
      <c r="J24" s="41">
        <v>0</v>
      </c>
    </row>
    <row r="25" spans="1:10" x14ac:dyDescent="0.25">
      <c r="A25" s="32">
        <v>19</v>
      </c>
      <c r="B25" s="32" t="s">
        <v>235</v>
      </c>
      <c r="C25" s="32" t="s">
        <v>236</v>
      </c>
      <c r="G25" s="32"/>
      <c r="H25" s="32">
        <v>72</v>
      </c>
      <c r="I25" s="32">
        <v>27</v>
      </c>
      <c r="J25" s="32">
        <v>0</v>
      </c>
    </row>
    <row r="26" spans="1:10" x14ac:dyDescent="0.25">
      <c r="A26" s="32">
        <v>20</v>
      </c>
      <c r="B26" s="32" t="s">
        <v>237</v>
      </c>
      <c r="C26" s="32" t="s">
        <v>229</v>
      </c>
      <c r="G26" s="32"/>
      <c r="H26" s="32">
        <v>2</v>
      </c>
      <c r="I26" s="32">
        <v>2</v>
      </c>
      <c r="J26" s="32">
        <v>0</v>
      </c>
    </row>
    <row r="27" spans="1:10" x14ac:dyDescent="0.25">
      <c r="A27" s="32">
        <v>21</v>
      </c>
      <c r="B27" s="32" t="s">
        <v>238</v>
      </c>
      <c r="C27" s="32" t="s">
        <v>229</v>
      </c>
      <c r="G27" s="32"/>
      <c r="H27" s="32">
        <v>2</v>
      </c>
      <c r="I27" s="32">
        <v>2</v>
      </c>
      <c r="J27" s="32">
        <v>0</v>
      </c>
    </row>
    <row r="28" spans="1:10" x14ac:dyDescent="0.25">
      <c r="A28" s="32">
        <v>22</v>
      </c>
      <c r="B28" s="32" t="s">
        <v>239</v>
      </c>
      <c r="C28" s="32" t="s">
        <v>229</v>
      </c>
      <c r="G28" s="32"/>
      <c r="H28" s="32">
        <v>2</v>
      </c>
      <c r="I28" s="32">
        <v>1</v>
      </c>
      <c r="J28" s="32">
        <v>0</v>
      </c>
    </row>
    <row r="29" spans="1:10" x14ac:dyDescent="0.25">
      <c r="A29" s="32">
        <v>23</v>
      </c>
      <c r="B29" s="32" t="s">
        <v>240</v>
      </c>
      <c r="C29" s="32" t="s">
        <v>241</v>
      </c>
      <c r="G29" s="32"/>
      <c r="H29" s="32">
        <v>120</v>
      </c>
      <c r="I29" s="32">
        <v>120</v>
      </c>
      <c r="J29" s="32">
        <v>0</v>
      </c>
    </row>
    <row r="30" spans="1:10" x14ac:dyDescent="0.25">
      <c r="A30" s="32">
        <v>24</v>
      </c>
      <c r="B30" s="40" t="s">
        <v>242</v>
      </c>
      <c r="C30" s="32" t="s">
        <v>243</v>
      </c>
      <c r="G30" s="32"/>
      <c r="H30" s="32">
        <v>0</v>
      </c>
      <c r="I30" s="32">
        <v>0</v>
      </c>
      <c r="J30" s="32">
        <v>0</v>
      </c>
    </row>
    <row r="31" spans="1:10" x14ac:dyDescent="0.25">
      <c r="A31" s="32">
        <v>25</v>
      </c>
      <c r="B31" s="40" t="s">
        <v>244</v>
      </c>
      <c r="C31" s="32" t="s">
        <v>245</v>
      </c>
      <c r="G31" s="32"/>
      <c r="H31" s="32">
        <v>10</v>
      </c>
      <c r="I31" s="32">
        <v>4</v>
      </c>
      <c r="J31" s="32">
        <v>0</v>
      </c>
    </row>
  </sheetData>
  <mergeCells count="11">
    <mergeCell ref="A1:A3"/>
    <mergeCell ref="B1:B3"/>
    <mergeCell ref="D1:D3"/>
    <mergeCell ref="E1:E3"/>
    <mergeCell ref="I1:I3"/>
    <mergeCell ref="J1:J3"/>
    <mergeCell ref="C1:C3"/>
    <mergeCell ref="H1:H3"/>
    <mergeCell ref="B9:E9"/>
    <mergeCell ref="G1:G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2026-10-27T03:50:10Z</dcterms:modified>
  <cp:category/>
  <cp:contentStatus/>
</cp:coreProperties>
</file>