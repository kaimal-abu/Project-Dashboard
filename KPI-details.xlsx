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ntpccoin-my.sharepoint.com/personal/abhilashkaimal_ntpc_co_in/Documents/Patratu/Project Dashboard - Microsoft/"/>
    </mc:Choice>
  </mc:AlternateContent>
  <xr:revisionPtr revIDLastSave="46" documentId="13_ncr:1_{29C74D10-F176-41A0-A003-C2CD4B9FEB0F}" xr6:coauthVersionLast="47" xr6:coauthVersionMax="47" xr10:uidLastSave="{7B3CFC2A-CFA0-42D4-9080-38AFF7CE8832}"/>
  <bookViews>
    <workbookView xWindow="-120" yWindow="-120" windowWidth="29040" windowHeight="15720" activeTab="1" xr2:uid="{00000000-000D-0000-FFFF-FFFF00000000}"/>
  </bookViews>
  <sheets>
    <sheet name="SepTargets" sheetId="3" r:id="rId1"/>
    <sheet name="Tonnage" sheetId="1" r:id="rId2"/>
    <sheet name="AugustTarget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<sst xmlns="http://schemas.openxmlformats.org/spreadsheetml/2006/main" count="51" uniqueCount="36">
  <si>
    <t>Unit</t>
  </si>
  <si>
    <t>Component</t>
  </si>
  <si>
    <t>Tonnage Completed</t>
  </si>
  <si>
    <t>Total Tonnage</t>
  </si>
  <si>
    <t>Percentage</t>
  </si>
  <si>
    <t>Unit 1</t>
  </si>
  <si>
    <t>Boiler-1</t>
  </si>
  <si>
    <t>ESP- 1 &amp; Absorber</t>
  </si>
  <si>
    <t>Critical Piping U1</t>
  </si>
  <si>
    <t>ACC1</t>
  </si>
  <si>
    <t>MPH-1</t>
  </si>
  <si>
    <t>Unit 2</t>
  </si>
  <si>
    <t>Boiler-2</t>
  </si>
  <si>
    <t>ESP-2</t>
  </si>
  <si>
    <t>Critical Piping U2</t>
  </si>
  <si>
    <t>ACC2</t>
  </si>
  <si>
    <t>MPH-2</t>
  </si>
  <si>
    <t>Unit 3</t>
  </si>
  <si>
    <t xml:space="preserve">Boiler-3 </t>
  </si>
  <si>
    <t>Piping-3</t>
  </si>
  <si>
    <t>ESP-3 incl control room</t>
  </si>
  <si>
    <t>ACC3</t>
  </si>
  <si>
    <t>MPH-3</t>
  </si>
  <si>
    <t>SNo</t>
  </si>
  <si>
    <t>Target</t>
  </si>
  <si>
    <t>1000MT erection in Unit 3 ACC</t>
  </si>
  <si>
    <t>1st HT Switchgear charging in Unit 3 - 14.08.26</t>
  </si>
  <si>
    <t>Completion of FD 3A/ PA 3A foundation - 30.08.26</t>
  </si>
  <si>
    <t>Start of Bottom ash hopper erection work - 17.08.26</t>
  </si>
  <si>
    <t>60 P91/92 joints in Unit 3. July achievement was - 28</t>
  </si>
  <si>
    <t>Boiler DHT - 10.08.26- Completed on 17.08.26</t>
  </si>
  <si>
    <t>FD Fan foundation casting completion</t>
  </si>
  <si>
    <t>All HT switchgear charging of Unit 3</t>
  </si>
  <si>
    <t>ST 2 and UAT3 charging</t>
  </si>
  <si>
    <t>60 P91/92 joints in Unit 3. Sep achievement was - 28</t>
  </si>
  <si>
    <t>Start of BAIM silo erection in Unit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</si>
</sst>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12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005A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wrapText="1" readingOrder="1"/>
    </xf>
    <xf numFmtId="164" fontId="0" fillId="0" borderId="0" xfId="1" applyNumberFormat="1" applyFont="1"/>
    <xf numFmtId="0" fontId="3" fillId="0" borderId="1" xfId="0" applyFont="1" applyBorder="1" applyAlignment="1">
      <alignment readingOrder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E43AB-79A9-48E8-BCBE-F2658EB23C7E}">
  <dimension ref="A1:B7"/>
  <sheetViews>
    <sheetView workbookViewId="0">
      <selection activeCell="D31" sqref="D31"/>
    </sheetView>
  </sheetViews>
  <sheetFormatPr defaultRowHeight="15" x14ac:dyDescent="0.25"/>
  <cols>
    <col min="1" max="1" width="8" customWidth="1"/>
    <col min="2" max="2" width="55" customWidth="1"/>
  </cols>
  <sheetData>
    <row r="1" spans="1:2" x14ac:dyDescent="0.25">
      <c r="A1" s="1" t="s">
        <v>23</v>
      </c>
      <c r="B1" s="1" t="s">
        <v>24</v>
      </c>
    </row>
    <row r="2" spans="1:2" x14ac:dyDescent="0.25">
      <c r="A2">
        <v>1</v>
      </c>
      <c r="B2" t="s">
        <v>31</v>
      </c>
    </row>
    <row r="3" spans="1:2" x14ac:dyDescent="0.25">
      <c r="A3">
        <v>2</v>
      </c>
      <c r="B3" t="s">
        <v>25</v>
      </c>
    </row>
    <row r="4" spans="1:2" x14ac:dyDescent="0.25">
      <c r="A4">
        <v>3</v>
      </c>
      <c r="B4" t="s">
        <v>32</v>
      </c>
    </row>
    <row r="5" spans="1:2" x14ac:dyDescent="0.25">
      <c r="A5">
        <v>4</v>
      </c>
      <c r="B5" t="s">
        <v>35</v>
      </c>
    </row>
    <row r="6" spans="1:2" x14ac:dyDescent="0.25">
      <c r="A6">
        <v>5</v>
      </c>
      <c r="B6" t="s">
        <v>33</v>
      </c>
    </row>
    <row r="7" spans="1:2" x14ac:dyDescent="0.25">
      <c r="A7">
        <v>6</v>
      </c>
      <c r="B7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I14" sqref="I14"/>
    </sheetView>
  </sheetViews>
  <sheetFormatPr defaultRowHeight="15" x14ac:dyDescent="0.25"/>
  <cols>
    <col min="1" max="1" width="12" customWidth="1"/>
    <col min="2" max="2" width="22" customWidth="1"/>
    <col min="3" max="3" width="18" customWidth="1"/>
    <col min="4" max="4" width="14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t="s">
        <v>5</v>
      </c>
      <c r="B2" s="2" t="s">
        <v>6</v>
      </c>
      <c r="C2" s="2">
        <v>58679</v>
      </c>
      <c r="D2" s="2">
        <v>59584</v>
      </c>
      <c r="E2" s="3">
        <f>C2/D2</f>
        <v>0.98481135875402792</v>
      </c>
    </row>
    <row r="3" spans="1:5" ht="15.75" x14ac:dyDescent="0.25">
      <c r="A3" t="s">
        <v>5</v>
      </c>
      <c r="B3" s="2" t="s">
        <v>7</v>
      </c>
      <c r="C3" s="2">
        <v>20312</v>
      </c>
      <c r="D3" s="2">
        <v>20879</v>
      </c>
      <c r="E3" s="3">
        <f t="shared" ref="E3:E16" si="0">C3/D3</f>
        <v>0.97284352698884047</v>
      </c>
    </row>
    <row r="4" spans="1:5" ht="15.75" x14ac:dyDescent="0.25">
      <c r="A4" t="s">
        <v>5</v>
      </c>
      <c r="B4" s="2" t="s">
        <v>8</v>
      </c>
      <c r="C4" s="4">
        <v>5159</v>
      </c>
      <c r="D4" s="2">
        <v>5159</v>
      </c>
      <c r="E4" s="3">
        <f t="shared" si="0"/>
        <v>1</v>
      </c>
    </row>
    <row r="5" spans="1:5" ht="15.75" x14ac:dyDescent="0.25">
      <c r="A5" t="s">
        <v>5</v>
      </c>
      <c r="B5" s="2" t="s">
        <v>9</v>
      </c>
      <c r="C5" s="4">
        <v>10800</v>
      </c>
      <c r="D5" s="2">
        <v>10800</v>
      </c>
      <c r="E5" s="3">
        <f t="shared" si="0"/>
        <v>1</v>
      </c>
    </row>
    <row r="6" spans="1:5" ht="15.75" x14ac:dyDescent="0.25">
      <c r="A6" t="s">
        <v>5</v>
      </c>
      <c r="B6" s="4" t="s">
        <v>10</v>
      </c>
      <c r="C6" s="2">
        <v>10535</v>
      </c>
      <c r="D6" s="2">
        <v>10535</v>
      </c>
      <c r="E6" s="3">
        <f t="shared" si="0"/>
        <v>1</v>
      </c>
    </row>
    <row r="7" spans="1:5" ht="15.75" x14ac:dyDescent="0.25">
      <c r="A7" t="s">
        <v>11</v>
      </c>
      <c r="B7" s="2" t="s">
        <v>12</v>
      </c>
      <c r="C7" s="2">
        <v>58503</v>
      </c>
      <c r="D7" s="2">
        <v>60168</v>
      </c>
      <c r="E7" s="3">
        <f t="shared" si="0"/>
        <v>0.97232748304746708</v>
      </c>
    </row>
    <row r="8" spans="1:5" ht="15.75" x14ac:dyDescent="0.25">
      <c r="A8" t="s">
        <v>11</v>
      </c>
      <c r="B8" s="2" t="s">
        <v>13</v>
      </c>
      <c r="C8" s="2">
        <v>18741</v>
      </c>
      <c r="D8" s="2">
        <v>18087</v>
      </c>
      <c r="E8" s="3">
        <f t="shared" si="0"/>
        <v>1.0361585669265219</v>
      </c>
    </row>
    <row r="9" spans="1:5" ht="15.75" x14ac:dyDescent="0.25">
      <c r="A9" t="s">
        <v>11</v>
      </c>
      <c r="B9" s="2" t="s">
        <v>14</v>
      </c>
      <c r="C9" s="4">
        <v>5800</v>
      </c>
      <c r="D9" s="2">
        <v>5903</v>
      </c>
      <c r="E9" s="3">
        <f t="shared" si="0"/>
        <v>0.98255124512959513</v>
      </c>
    </row>
    <row r="10" spans="1:5" ht="15.75" x14ac:dyDescent="0.25">
      <c r="A10" t="s">
        <v>11</v>
      </c>
      <c r="B10" s="2" t="s">
        <v>15</v>
      </c>
      <c r="C10" s="4">
        <v>10690</v>
      </c>
      <c r="D10" s="2">
        <v>10820</v>
      </c>
      <c r="E10" s="3">
        <f t="shared" si="0"/>
        <v>0.98798521256931604</v>
      </c>
    </row>
    <row r="11" spans="1:5" ht="15.75" x14ac:dyDescent="0.25">
      <c r="A11" t="s">
        <v>11</v>
      </c>
      <c r="B11" s="4" t="s">
        <v>16</v>
      </c>
      <c r="C11" s="2">
        <v>13293</v>
      </c>
      <c r="D11" s="2">
        <v>13400</v>
      </c>
      <c r="E11" s="3">
        <f t="shared" si="0"/>
        <v>0.99201492537313429</v>
      </c>
    </row>
    <row r="12" spans="1:5" ht="15.75" x14ac:dyDescent="0.25">
      <c r="A12" t="s">
        <v>17</v>
      </c>
      <c r="B12" s="2" t="s">
        <v>18</v>
      </c>
      <c r="C12" s="2">
        <v>40824</v>
      </c>
      <c r="D12" s="2">
        <v>66363</v>
      </c>
      <c r="E12" s="3">
        <f t="shared" si="0"/>
        <v>0.61516206319786626</v>
      </c>
    </row>
    <row r="13" spans="1:5" ht="15.75" x14ac:dyDescent="0.25">
      <c r="A13" t="s">
        <v>17</v>
      </c>
      <c r="B13" s="2" t="s">
        <v>19</v>
      </c>
      <c r="C13" s="2">
        <v>1644</v>
      </c>
      <c r="D13" s="2">
        <v>5309</v>
      </c>
      <c r="E13" s="3">
        <f t="shared" si="0"/>
        <v>0.30966283669240913</v>
      </c>
    </row>
    <row r="14" spans="1:5" ht="31.5" x14ac:dyDescent="0.25">
      <c r="A14" t="s">
        <v>17</v>
      </c>
      <c r="B14" s="2" t="s">
        <v>20</v>
      </c>
      <c r="C14" s="2">
        <v>11284</v>
      </c>
      <c r="D14" s="2">
        <v>14724</v>
      </c>
      <c r="E14" s="3">
        <f t="shared" si="0"/>
        <v>0.76636783482749249</v>
      </c>
    </row>
    <row r="15" spans="1:5" ht="15.75" x14ac:dyDescent="0.25">
      <c r="A15" t="s">
        <v>17</v>
      </c>
      <c r="B15" s="2" t="s">
        <v>21</v>
      </c>
      <c r="C15" s="2">
        <v>4615</v>
      </c>
      <c r="D15" s="2">
        <v>10800</v>
      </c>
      <c r="E15" s="3">
        <f t="shared" si="0"/>
        <v>0.42731481481481481</v>
      </c>
    </row>
    <row r="16" spans="1:5" ht="15.75" x14ac:dyDescent="0.25">
      <c r="A16" t="s">
        <v>17</v>
      </c>
      <c r="B16" s="4" t="s">
        <v>22</v>
      </c>
      <c r="C16" s="2">
        <v>7599</v>
      </c>
      <c r="D16" s="2">
        <v>7600</v>
      </c>
      <c r="E16" s="3">
        <f t="shared" si="0"/>
        <v>0.99986842105263163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19" sqref="B19"/>
    </sheetView>
  </sheetViews>
  <sheetFormatPr defaultRowHeight="15" x14ac:dyDescent="0.25"/>
  <cols>
    <col min="1" max="1" width="8" customWidth="1"/>
    <col min="2" max="2" width="55" customWidth="1"/>
  </cols>
  <sheetData>
    <row r="1" spans="1:2" x14ac:dyDescent="0.25">
      <c r="A1" s="1" t="s">
        <v>23</v>
      </c>
      <c r="B1" s="1" t="s">
        <v>24</v>
      </c>
    </row>
    <row r="2" spans="1:2" x14ac:dyDescent="0.25">
      <c r="A2">
        <v>1</v>
      </c>
      <c r="B2" t="s">
        <v>30</v>
      </c>
    </row>
    <row r="3" spans="1:2" x14ac:dyDescent="0.25">
      <c r="A3">
        <v>2</v>
      </c>
      <c r="B3" t="s">
        <v>25</v>
      </c>
    </row>
    <row r="4" spans="1:2" x14ac:dyDescent="0.25">
      <c r="A4">
        <v>3</v>
      </c>
      <c r="B4" t="s">
        <v>26</v>
      </c>
    </row>
    <row r="5" spans="1:2" x14ac:dyDescent="0.25">
      <c r="A5">
        <v>4</v>
      </c>
      <c r="B5" t="s">
        <v>27</v>
      </c>
    </row>
    <row r="6" spans="1:2" x14ac:dyDescent="0.25">
      <c r="A6">
        <v>5</v>
      </c>
      <c r="B6" t="s">
        <v>28</v>
      </c>
    </row>
    <row r="7" spans="1:2" x14ac:dyDescent="0.25">
      <c r="A7">
        <v>6</v>
      </c>
      <c r="B7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SepTargets</vt:lpstr>
      <vt:lpstr>Tonnage</vt:lpstr>
      <vt:lpstr>AugustTargets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Abhilash Kaimal</cp:lastModifiedBy>
  <cp:revision/>
  <dcterms:created xsi:type="dcterms:W3CDTF">2026-08-04T13:50:34Z</dcterms:created>
  <dcterms:modified xsi:type="dcterms:W3CDTF">2026-10-15T14:13:56Z</dcterms:modified>
  <cp:category/>
  <cp:contentStatus/>
</cp:coreProperties>
</file>