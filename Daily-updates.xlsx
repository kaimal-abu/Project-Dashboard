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1050" documentId="11_DC8F342965EF1E1694601FD3C012B93540A277E6" xr6:coauthVersionLast="47" xr6:coauthVersionMax="47" xr10:uidLastSave="{6BC890AD-59E6-460D-936A-78C357212D7D}"/>
  <bookViews>
    <workbookView xWindow="-120" yWindow="-120" windowWidth="29040" windowHeight="15720" activeTab="1" xr2:uid="{00000000-000D-0000-FFFF-FFFF00000000}"/>
  </bookViews>
  <sheets>
    <sheet name="Updates" sheetId="1" r:id="rId1"/>
    <sheet name="Critical areas" sheetId="2" r:id="rId2"/>
    <sheet name="Joints" sheetId="5" r:id="rId3"/>
    <sheet name="Chimney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C3" i="5"/>
  <c r="C4" i="5"/>
  <c r="B3" i="5"/>
  <c r="D3" i="5"/>
  <c r="D4" i="5" s="1"/>
  <c r="B4" i="5"/>
  <c r="E4" i="5"/>
  <c r="F4" i="5"/>
  <c r="G4" i="5"/>
  <c r="H4" i="5"/>
  <c r="D2" i="5"/>
</calcChain>
</file>

<file path=xl/sharedStrings.xml><?xml version="1.0" encoding="utf-8"?>
<sst xmlns="http://schemas.openxmlformats.org/spreadsheetml/2006/main" count="35" uniqueCount="30">
  <si>
    <t>Date</t>
  </si>
  <si>
    <t>Category</t>
  </si>
  <si>
    <t>Update</t>
  </si>
  <si>
    <t>ACC</t>
  </si>
  <si>
    <t>Boiler</t>
  </si>
  <si>
    <t>PCP Joint</t>
  </si>
  <si>
    <t>Boiler - NDHT Joints</t>
  </si>
  <si>
    <t>PCP - P91/92</t>
  </si>
  <si>
    <t>Daily Target</t>
  </si>
  <si>
    <t>SH</t>
  </si>
  <si>
    <t>RH</t>
  </si>
  <si>
    <t>MS</t>
  </si>
  <si>
    <t>HRH</t>
  </si>
  <si>
    <t>CRH</t>
  </si>
  <si>
    <t>LPBP</t>
  </si>
  <si>
    <t>HPBP</t>
  </si>
  <si>
    <t>BFD</t>
  </si>
  <si>
    <t>Total</t>
  </si>
  <si>
    <t>Completed</t>
  </si>
  <si>
    <t>Balance</t>
  </si>
  <si>
    <t>Segment</t>
  </si>
  <si>
    <t>Segment-1</t>
  </si>
  <si>
    <t>Erected</t>
  </si>
  <si>
    <t>Segment-2</t>
  </si>
  <si>
    <t>Segment-3</t>
  </si>
  <si>
    <t>Segment-4</t>
  </si>
  <si>
    <t>Segment-5</t>
  </si>
  <si>
    <t>Daily-1; MS Joints - 72/146; MS to PRDS - 11/26; HRH - 10/95; CRH -14/87; LPBP - 11/49; HPBP-8/23; BFD- 176/661</t>
  </si>
  <si>
    <t>Daily-26; June - 1229; July - 832; Aug - 642; Sep- 1122 MT; Oct 436;Total - 5351 MT</t>
  </si>
  <si>
    <t>Daily-122  - (SH-84and RH-38); Oct-1332 NDHT Balance joints - 8882 (SH - 4684; RH - 4198)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</si>
</sst>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sz val="11"/>
      <color theme="1"/>
      <name val="Bookman Old Style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8"/>
      <color theme="3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34">
    <xf numFmtId="0" fontId="0" fillId="0" borderId="0"/>
    <xf numFmtId="0" fontId="4" fillId="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165" fontId="6" fillId="0" borderId="0" xfId="2" applyNumberFormat="1" applyFont="1" applyAlignment="1">
      <alignment horizontal="right" vertical="center" wrapText="1"/>
    </xf>
    <xf numFmtId="165" fontId="4" fillId="0" borderId="0" xfId="1" applyNumberFormat="1" applyFill="1" applyBorder="1" applyAlignment="1">
      <alignment horizontal="right" vertical="center" wrapText="1"/>
    </xf>
    <xf numFmtId="1" fontId="6" fillId="0" borderId="0" xfId="22" applyNumberFormat="1" applyFont="1" applyAlignment="1">
      <alignment horizontal="right" vertical="center" wrapText="1"/>
    </xf>
    <xf numFmtId="1" fontId="6" fillId="0" borderId="0" xfId="2" applyNumberFormat="1" applyFont="1" applyAlignment="1">
      <alignment horizontal="right" vertical="center" wrapText="1"/>
    </xf>
    <xf numFmtId="1" fontId="0" fillId="0" borderId="0" xfId="0" applyNumberFormat="1"/>
    <xf numFmtId="165" fontId="6" fillId="0" borderId="0" xfId="22" applyNumberFormat="1" applyFont="1" applyAlignment="1">
      <alignment horizontal="right" vertical="center" wrapText="1"/>
    </xf>
  </cellXfs>
  <cellStyles count="34">
    <cellStyle name="20% - Accent5 9" xfId="29" xr:uid="{83B76E04-2387-4B96-B399-6CA28CB9C921}"/>
    <cellStyle name="20% - Accent5 9 98 9 51" xfId="32" xr:uid="{E9B08F62-33F7-462D-93D0-323D948290BA}"/>
    <cellStyle name="Bad" xfId="1" builtinId="27"/>
    <cellStyle name="Comma 2" xfId="6" xr:uid="{F6BFF238-A680-4EFF-88CD-3B1B0161DFB8}"/>
    <cellStyle name="Comma 2 2" xfId="20" xr:uid="{F8181E47-271F-44A7-A3FE-D1D71E72085E}"/>
    <cellStyle name="Comma 2 3" xfId="14" xr:uid="{9342E52E-E1A0-4A09-806F-16FE3F3ED1E4}"/>
    <cellStyle name="Normal" xfId="0" builtinId="0"/>
    <cellStyle name="Normal 10" xfId="22" xr:uid="{3BEC51BE-D192-4742-A0BF-B4BA433E0670}"/>
    <cellStyle name="Normal 12 2" xfId="33" xr:uid="{8959DB9C-3142-494E-A942-A0F807A479B3}"/>
    <cellStyle name="Normal 2" xfId="7" xr:uid="{A9838CAC-2E1D-4D9F-9EF9-E0E63D3517C4}"/>
    <cellStyle name="Normal 2 11" xfId="4" xr:uid="{1602A16A-A7C7-4745-9ACA-2163ED8C3A54}"/>
    <cellStyle name="Normal 2 2 2 17" xfId="28" xr:uid="{A65F04AB-0239-4174-B67B-5165C6E9BECA}"/>
    <cellStyle name="Normal 2 2 2 17 98 9 51" xfId="31" xr:uid="{DDD75516-4494-4991-A2F3-537C0F984288}"/>
    <cellStyle name="Normal 2 2 2 2" xfId="10" xr:uid="{D7BE154F-0C63-4FBB-874D-BB96EA40BC46}"/>
    <cellStyle name="Normal 2_Du Detail" xfId="19" xr:uid="{B1CF3FC9-38B2-48DA-A19B-B20509994EF2}"/>
    <cellStyle name="Normal 22" xfId="26" xr:uid="{DC7FA359-8D69-4F24-9A51-EB83B2A0A99D}"/>
    <cellStyle name="Normal 22 98 9 51" xfId="30" xr:uid="{6ECBDAC6-51EC-4D63-B322-705D3CCC1112}"/>
    <cellStyle name="Normal 3" xfId="8" xr:uid="{898637E5-8B84-4EE7-8C2F-9FFC90D6F088}"/>
    <cellStyle name="Normal 3 2" xfId="11" xr:uid="{2317BB1C-FE94-4760-8167-2D6E649F7297}"/>
    <cellStyle name="Normal 4" xfId="5" xr:uid="{7FD18CA3-00B3-4DBC-AB80-C925C182656E}"/>
    <cellStyle name="Normal 5" xfId="9" xr:uid="{94863BD6-9710-47E7-B69A-61DE818B594A}"/>
    <cellStyle name="Normal 5 2" xfId="12" xr:uid="{36C27247-C288-428B-8BF8-0C6CED851065}"/>
    <cellStyle name="Normal 5 2 2" xfId="16" xr:uid="{84B96D50-22C1-4046-912A-04F5F34289C3}"/>
    <cellStyle name="Normal 6" xfId="13" xr:uid="{D2B614C2-AB2F-491F-B9D6-F12C6596BFDB}"/>
    <cellStyle name="Normal 6 2" xfId="15" xr:uid="{F84646AA-0A17-4A3B-A397-1461B63AEB18}"/>
    <cellStyle name="Normal 6 3" xfId="23" xr:uid="{6D0328E3-CF7E-4A63-BA55-9751245311F1}"/>
    <cellStyle name="Normal 6_Du Detail" xfId="25" xr:uid="{7FD08EAE-CE27-4C7E-BDBF-44673BDDB1F6}"/>
    <cellStyle name="Normal 7" xfId="17" xr:uid="{754A35EA-F378-4CE0-A1A3-0973069E9DC0}"/>
    <cellStyle name="Normal 7 2" xfId="24" xr:uid="{7EE310CB-54C3-4501-B37D-E34DE2A0F2A5}"/>
    <cellStyle name="Normal 7_Du Detail" xfId="21" xr:uid="{CEFE62EF-08D5-4F02-9A50-430497EA831D}"/>
    <cellStyle name="Normal 8" xfId="18" xr:uid="{AEC90A00-016F-4DCF-909E-72954C023E8A}"/>
    <cellStyle name="Normal 9" xfId="2" xr:uid="{C0442E06-09A9-4EB8-A419-861957760B34}"/>
    <cellStyle name="Percent 2" xfId="3" xr:uid="{D4ECF4DB-59CC-49E5-B26D-B71A761533FC}"/>
    <cellStyle name="Title 2" xfId="27" xr:uid="{4CF40618-97A1-49D9-9269-557741BF929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5" sqref="C15"/>
    </sheetView>
  </sheetViews>
  <sheetFormatPr defaultRowHeight="15.75" x14ac:dyDescent="0.25"/>
  <cols>
    <col min="1" max="1" width="10.625" bestFit="1" customWidth="1"/>
    <col min="3" max="3" width="9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46310</v>
      </c>
      <c r="B2" t="s">
        <v>3</v>
      </c>
      <c r="C2" t="s">
        <v>28</v>
      </c>
    </row>
    <row r="3" spans="1:3" x14ac:dyDescent="0.25">
      <c r="A3" s="1">
        <v>46310</v>
      </c>
      <c r="B3" t="s">
        <v>4</v>
      </c>
      <c r="C3" t="s">
        <v>29</v>
      </c>
    </row>
    <row r="4" spans="1:3" x14ac:dyDescent="0.25">
      <c r="A4" s="1">
        <v>46310</v>
      </c>
      <c r="B4" t="s">
        <v>5</v>
      </c>
      <c r="C4" t="s">
        <v>27</v>
      </c>
    </row>
  </sheetData>
  <pageMargins left="0.7" right="0.7" top="0.75" bottom="0.75" header="0.3" footer="0.3"/>
  <ignoredErrors>
    <ignoredError sqref="A1:C1 B4 B2 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8853-E44A-449A-8552-A3359B72937A}">
  <dimension ref="A1:AA74"/>
  <sheetViews>
    <sheetView tabSelected="1" workbookViewId="0">
      <selection activeCell="G5" sqref="G5"/>
    </sheetView>
  </sheetViews>
  <sheetFormatPr defaultRowHeight="15.75" x14ac:dyDescent="0.25"/>
  <cols>
    <col min="1" max="1" width="10.625" bestFit="1" customWidth="1"/>
    <col min="3" max="3" width="17" bestFit="1" customWidth="1"/>
    <col min="4" max="4" width="11.25" bestFit="1" customWidth="1"/>
    <col min="5" max="6" width="11.25" customWidth="1"/>
  </cols>
  <sheetData>
    <row r="1" spans="1:27" x14ac:dyDescent="0.25">
      <c r="A1" t="s">
        <v>0</v>
      </c>
      <c r="B1" t="s">
        <v>3</v>
      </c>
      <c r="C1" t="s">
        <v>6</v>
      </c>
      <c r="D1" t="s">
        <v>7</v>
      </c>
    </row>
    <row r="2" spans="1:27" x14ac:dyDescent="0.25">
      <c r="A2" t="s">
        <v>8</v>
      </c>
      <c r="B2">
        <v>30</v>
      </c>
      <c r="C2">
        <v>200</v>
      </c>
      <c r="D2">
        <v>2</v>
      </c>
      <c r="E2">
        <v>30</v>
      </c>
    </row>
    <row r="3" spans="1:27" x14ac:dyDescent="0.25">
      <c r="A3" s="1">
        <v>46310</v>
      </c>
      <c r="B3">
        <v>56</v>
      </c>
      <c r="C3">
        <v>122</v>
      </c>
      <c r="D3">
        <v>1</v>
      </c>
      <c r="E3" s="6">
        <v>20.72</v>
      </c>
    </row>
    <row r="4" spans="1:27" x14ac:dyDescent="0.25">
      <c r="A4" s="1">
        <v>46309</v>
      </c>
      <c r="B4">
        <v>23</v>
      </c>
      <c r="C4">
        <v>135</v>
      </c>
      <c r="D4">
        <v>2</v>
      </c>
      <c r="E4" s="6">
        <v>16.425999999999998</v>
      </c>
    </row>
    <row r="5" spans="1:27" x14ac:dyDescent="0.25">
      <c r="A5" s="1">
        <v>46308</v>
      </c>
      <c r="B5">
        <v>44</v>
      </c>
      <c r="C5">
        <v>127</v>
      </c>
      <c r="D5">
        <v>1</v>
      </c>
      <c r="E5" s="6">
        <v>18.917999999999999</v>
      </c>
    </row>
    <row r="6" spans="1:27" x14ac:dyDescent="0.25">
      <c r="A6" s="1">
        <v>46307</v>
      </c>
      <c r="B6">
        <v>102</v>
      </c>
      <c r="C6">
        <v>118</v>
      </c>
      <c r="D6">
        <v>3</v>
      </c>
      <c r="E6" s="6">
        <v>7.9720000000000004</v>
      </c>
    </row>
    <row r="7" spans="1:27" x14ac:dyDescent="0.25">
      <c r="A7" s="1">
        <v>46306</v>
      </c>
      <c r="B7">
        <v>21</v>
      </c>
      <c r="C7">
        <v>0</v>
      </c>
      <c r="D7">
        <v>0</v>
      </c>
      <c r="E7" s="6"/>
    </row>
    <row r="8" spans="1:27" x14ac:dyDescent="0.25">
      <c r="A8" s="1">
        <v>46305</v>
      </c>
      <c r="B8">
        <v>83</v>
      </c>
      <c r="C8">
        <v>82</v>
      </c>
      <c r="D8">
        <v>1</v>
      </c>
      <c r="E8" s="6"/>
    </row>
    <row r="9" spans="1:27" x14ac:dyDescent="0.25">
      <c r="A9" s="1">
        <v>46304</v>
      </c>
      <c r="B9">
        <v>74</v>
      </c>
      <c r="C9">
        <v>130</v>
      </c>
      <c r="D9">
        <v>1</v>
      </c>
      <c r="E9" s="6">
        <v>4.3440000000000003</v>
      </c>
      <c r="I9" s="2"/>
      <c r="J9" s="3"/>
      <c r="K9" s="2"/>
      <c r="L9" s="2"/>
      <c r="M9" s="2"/>
      <c r="N9" s="3"/>
      <c r="P9" s="2"/>
      <c r="Q9" s="3"/>
      <c r="R9" s="2"/>
      <c r="S9" s="3"/>
      <c r="T9" s="2"/>
      <c r="U9" s="2"/>
      <c r="X9" s="3"/>
      <c r="Y9" s="2"/>
      <c r="Z9" s="2"/>
      <c r="AA9" s="2"/>
    </row>
    <row r="10" spans="1:27" x14ac:dyDescent="0.25">
      <c r="A10" s="1">
        <v>46303</v>
      </c>
      <c r="B10">
        <v>70</v>
      </c>
      <c r="C10">
        <v>134</v>
      </c>
      <c r="D10">
        <v>1</v>
      </c>
      <c r="E10" s="6"/>
    </row>
    <row r="11" spans="1:27" x14ac:dyDescent="0.25">
      <c r="A11" s="1">
        <v>46302</v>
      </c>
      <c r="B11">
        <v>26</v>
      </c>
      <c r="C11">
        <v>91</v>
      </c>
      <c r="D11">
        <v>0</v>
      </c>
      <c r="E11" s="6"/>
    </row>
    <row r="12" spans="1:27" x14ac:dyDescent="0.25">
      <c r="A12" s="1">
        <v>46301</v>
      </c>
      <c r="B12">
        <v>45</v>
      </c>
      <c r="C12">
        <v>104</v>
      </c>
      <c r="D12">
        <v>4</v>
      </c>
      <c r="E12" s="6">
        <v>4.5679999999999996</v>
      </c>
    </row>
    <row r="13" spans="1:27" x14ac:dyDescent="0.25">
      <c r="A13" s="1">
        <v>46300</v>
      </c>
      <c r="B13">
        <v>45</v>
      </c>
      <c r="C13">
        <v>123</v>
      </c>
      <c r="D13">
        <v>2</v>
      </c>
      <c r="E13" s="6">
        <v>6.4130000000000003</v>
      </c>
    </row>
    <row r="14" spans="1:27" x14ac:dyDescent="0.25">
      <c r="A14" s="1">
        <v>46299</v>
      </c>
      <c r="B14">
        <v>66</v>
      </c>
      <c r="C14">
        <v>0</v>
      </c>
      <c r="D14">
        <v>0</v>
      </c>
      <c r="E14" s="6">
        <v>4.3440000000000003</v>
      </c>
    </row>
    <row r="15" spans="1:27" x14ac:dyDescent="0.25">
      <c r="A15" s="1">
        <v>46298</v>
      </c>
      <c r="B15">
        <v>40</v>
      </c>
      <c r="C15">
        <v>65</v>
      </c>
      <c r="D15">
        <v>1</v>
      </c>
      <c r="E15" s="6"/>
    </row>
    <row r="16" spans="1:27" x14ac:dyDescent="0.25">
      <c r="A16" s="1">
        <v>46297</v>
      </c>
      <c r="B16">
        <v>0</v>
      </c>
      <c r="C16">
        <v>0</v>
      </c>
      <c r="D16">
        <v>0</v>
      </c>
      <c r="E16" s="6"/>
    </row>
    <row r="17" spans="1:5" x14ac:dyDescent="0.25">
      <c r="A17" s="1">
        <v>46296</v>
      </c>
      <c r="B17">
        <v>40</v>
      </c>
      <c r="C17">
        <v>101</v>
      </c>
      <c r="D17">
        <v>1</v>
      </c>
      <c r="E17" s="6"/>
    </row>
    <row r="18" spans="1:5" x14ac:dyDescent="0.25">
      <c r="A18" s="1">
        <v>46295</v>
      </c>
      <c r="B18">
        <v>321</v>
      </c>
      <c r="C18">
        <v>139</v>
      </c>
      <c r="D18">
        <v>0</v>
      </c>
      <c r="E18" s="5">
        <v>37.679307999999999</v>
      </c>
    </row>
    <row r="19" spans="1:5" x14ac:dyDescent="0.25">
      <c r="A19" s="1">
        <v>46294</v>
      </c>
      <c r="B19">
        <v>200</v>
      </c>
      <c r="C19">
        <v>114</v>
      </c>
      <c r="D19">
        <v>1</v>
      </c>
      <c r="E19" s="5">
        <v>33.449338000000004</v>
      </c>
    </row>
    <row r="20" spans="1:5" x14ac:dyDescent="0.25">
      <c r="A20" s="1">
        <v>46293</v>
      </c>
      <c r="B20">
        <v>43</v>
      </c>
      <c r="C20">
        <v>0</v>
      </c>
      <c r="D20">
        <v>4</v>
      </c>
      <c r="E20" s="5">
        <v>42.041217999999994</v>
      </c>
    </row>
    <row r="21" spans="1:5" x14ac:dyDescent="0.25">
      <c r="A21" s="1">
        <v>46292</v>
      </c>
      <c r="B21">
        <v>13</v>
      </c>
      <c r="C21">
        <v>0</v>
      </c>
      <c r="D21">
        <v>0</v>
      </c>
      <c r="E21" s="6"/>
    </row>
    <row r="22" spans="1:5" x14ac:dyDescent="0.25">
      <c r="A22" s="1">
        <v>46291</v>
      </c>
      <c r="B22">
        <v>17</v>
      </c>
      <c r="C22">
        <v>39</v>
      </c>
      <c r="D22">
        <v>0</v>
      </c>
      <c r="E22" s="5">
        <v>16.912866999999999</v>
      </c>
    </row>
    <row r="23" spans="1:5" x14ac:dyDescent="0.25">
      <c r="A23" s="1">
        <v>46290</v>
      </c>
      <c r="B23">
        <v>20</v>
      </c>
      <c r="C23">
        <v>121</v>
      </c>
      <c r="D23">
        <v>2</v>
      </c>
      <c r="E23" s="5">
        <v>11.657306</v>
      </c>
    </row>
    <row r="24" spans="1:5" x14ac:dyDescent="0.25">
      <c r="A24" s="1">
        <v>46289</v>
      </c>
      <c r="B24">
        <v>3</v>
      </c>
      <c r="C24">
        <v>133</v>
      </c>
      <c r="D24">
        <v>1</v>
      </c>
    </row>
    <row r="25" spans="1:5" x14ac:dyDescent="0.25">
      <c r="A25" s="1">
        <v>46288</v>
      </c>
      <c r="B25">
        <v>0</v>
      </c>
      <c r="C25">
        <v>143</v>
      </c>
      <c r="D25">
        <v>1</v>
      </c>
    </row>
    <row r="26" spans="1:5" x14ac:dyDescent="0.25">
      <c r="A26" s="1">
        <v>46287</v>
      </c>
      <c r="B26">
        <v>9</v>
      </c>
      <c r="C26">
        <v>0</v>
      </c>
      <c r="D26">
        <v>1</v>
      </c>
    </row>
    <row r="27" spans="1:5" x14ac:dyDescent="0.25">
      <c r="A27" s="1">
        <v>46286</v>
      </c>
      <c r="B27">
        <v>32</v>
      </c>
      <c r="C27">
        <v>131</v>
      </c>
      <c r="D27">
        <v>0</v>
      </c>
    </row>
    <row r="28" spans="1:5" x14ac:dyDescent="0.25">
      <c r="A28" s="1">
        <v>46285</v>
      </c>
      <c r="B28">
        <v>42</v>
      </c>
      <c r="C28">
        <v>111</v>
      </c>
      <c r="D28">
        <v>0</v>
      </c>
    </row>
    <row r="29" spans="1:5" x14ac:dyDescent="0.25">
      <c r="A29" s="1">
        <v>46284</v>
      </c>
      <c r="B29">
        <v>16</v>
      </c>
      <c r="C29">
        <v>118</v>
      </c>
      <c r="D29">
        <v>4</v>
      </c>
    </row>
    <row r="30" spans="1:5" x14ac:dyDescent="0.25">
      <c r="A30" s="1">
        <v>46283</v>
      </c>
      <c r="B30">
        <v>16</v>
      </c>
      <c r="C30">
        <v>118</v>
      </c>
      <c r="D30">
        <v>4</v>
      </c>
      <c r="E30" s="5">
        <v>30.143184999999992</v>
      </c>
    </row>
    <row r="31" spans="1:5" x14ac:dyDescent="0.25">
      <c r="A31" s="1">
        <v>46281</v>
      </c>
      <c r="B31">
        <v>33</v>
      </c>
      <c r="C31">
        <v>98</v>
      </c>
      <c r="D31">
        <v>0</v>
      </c>
    </row>
    <row r="32" spans="1:5" x14ac:dyDescent="0.25">
      <c r="A32" s="1">
        <v>46280</v>
      </c>
      <c r="B32">
        <v>3</v>
      </c>
      <c r="C32">
        <v>125</v>
      </c>
      <c r="D32">
        <v>1</v>
      </c>
    </row>
    <row r="33" spans="1:5" x14ac:dyDescent="0.25">
      <c r="A33" s="1">
        <v>46279</v>
      </c>
      <c r="B33">
        <v>58</v>
      </c>
      <c r="C33">
        <v>100</v>
      </c>
      <c r="D33">
        <v>2</v>
      </c>
    </row>
    <row r="34" spans="1:5" x14ac:dyDescent="0.25">
      <c r="A34" s="1">
        <v>46278</v>
      </c>
      <c r="B34">
        <v>3</v>
      </c>
      <c r="C34">
        <v>0</v>
      </c>
      <c r="D34">
        <v>0</v>
      </c>
    </row>
    <row r="35" spans="1:5" x14ac:dyDescent="0.25">
      <c r="A35" s="1">
        <v>46277</v>
      </c>
      <c r="B35">
        <v>63</v>
      </c>
      <c r="C35">
        <v>42</v>
      </c>
      <c r="D35">
        <v>2</v>
      </c>
    </row>
    <row r="36" spans="1:5" x14ac:dyDescent="0.25">
      <c r="A36" s="1">
        <v>46276</v>
      </c>
      <c r="B36">
        <v>19</v>
      </c>
      <c r="C36">
        <v>73</v>
      </c>
      <c r="D36">
        <v>1</v>
      </c>
      <c r="E36" s="5">
        <v>5.3833070000000003</v>
      </c>
    </row>
    <row r="37" spans="1:5" x14ac:dyDescent="0.25">
      <c r="A37" s="1">
        <v>46275</v>
      </c>
      <c r="B37">
        <v>21</v>
      </c>
      <c r="C37">
        <v>16</v>
      </c>
      <c r="D37">
        <v>1</v>
      </c>
    </row>
    <row r="38" spans="1:5" x14ac:dyDescent="0.25">
      <c r="A38" s="1">
        <v>46274</v>
      </c>
      <c r="B38">
        <v>47</v>
      </c>
      <c r="C38">
        <v>84</v>
      </c>
      <c r="D38">
        <v>3</v>
      </c>
    </row>
    <row r="39" spans="1:5" x14ac:dyDescent="0.25">
      <c r="A39" s="1">
        <v>46273</v>
      </c>
      <c r="B39">
        <v>45</v>
      </c>
      <c r="C39">
        <v>105</v>
      </c>
      <c r="D39">
        <v>1</v>
      </c>
    </row>
    <row r="40" spans="1:5" x14ac:dyDescent="0.25">
      <c r="A40" s="1">
        <v>46272</v>
      </c>
      <c r="B40">
        <v>38</v>
      </c>
      <c r="C40">
        <v>92</v>
      </c>
      <c r="D40">
        <v>0</v>
      </c>
    </row>
    <row r="41" spans="1:5" x14ac:dyDescent="0.25">
      <c r="A41" s="1">
        <v>46271</v>
      </c>
      <c r="B41">
        <v>13</v>
      </c>
      <c r="C41">
        <v>0</v>
      </c>
      <c r="D41">
        <v>0</v>
      </c>
    </row>
    <row r="42" spans="1:5" x14ac:dyDescent="0.25">
      <c r="A42" s="1">
        <v>46270</v>
      </c>
      <c r="B42">
        <v>0</v>
      </c>
      <c r="C42">
        <v>90</v>
      </c>
      <c r="D42">
        <v>2</v>
      </c>
    </row>
    <row r="43" spans="1:5" x14ac:dyDescent="0.25">
      <c r="A43" s="1">
        <v>46269</v>
      </c>
      <c r="B43">
        <v>0</v>
      </c>
      <c r="C43">
        <v>0</v>
      </c>
      <c r="D43">
        <v>0</v>
      </c>
    </row>
    <row r="44" spans="1:5" x14ac:dyDescent="0.25">
      <c r="A44" s="1">
        <v>46268</v>
      </c>
      <c r="B44">
        <v>23</v>
      </c>
      <c r="C44">
        <v>74</v>
      </c>
      <c r="D44">
        <v>0</v>
      </c>
    </row>
    <row r="45" spans="1:5" x14ac:dyDescent="0.25">
      <c r="A45" s="1">
        <v>46267</v>
      </c>
      <c r="B45">
        <v>7</v>
      </c>
      <c r="C45">
        <v>75</v>
      </c>
      <c r="D45">
        <v>1</v>
      </c>
    </row>
    <row r="46" spans="1:5" x14ac:dyDescent="0.25">
      <c r="A46" s="1">
        <v>46266</v>
      </c>
      <c r="B46">
        <v>17</v>
      </c>
      <c r="C46">
        <v>0</v>
      </c>
      <c r="D46">
        <v>1</v>
      </c>
    </row>
    <row r="47" spans="1:5" x14ac:dyDescent="0.25">
      <c r="A47" s="1">
        <v>46265</v>
      </c>
      <c r="C47">
        <v>62</v>
      </c>
      <c r="D47">
        <v>1</v>
      </c>
    </row>
    <row r="48" spans="1:5" x14ac:dyDescent="0.25">
      <c r="A48" s="1">
        <v>46264</v>
      </c>
      <c r="B48">
        <v>5</v>
      </c>
      <c r="C48">
        <v>0</v>
      </c>
      <c r="D48">
        <v>0</v>
      </c>
    </row>
    <row r="49" spans="1:21" x14ac:dyDescent="0.25">
      <c r="A49" s="1">
        <v>46263</v>
      </c>
      <c r="B49">
        <v>73</v>
      </c>
      <c r="C49">
        <v>62</v>
      </c>
      <c r="D49">
        <v>1</v>
      </c>
    </row>
    <row r="50" spans="1:21" x14ac:dyDescent="0.25">
      <c r="A50" s="1">
        <v>46262</v>
      </c>
      <c r="B50">
        <v>67</v>
      </c>
      <c r="C50">
        <v>54</v>
      </c>
      <c r="D50">
        <v>0</v>
      </c>
    </row>
    <row r="51" spans="1:21" x14ac:dyDescent="0.25">
      <c r="A51" s="1">
        <v>46261</v>
      </c>
      <c r="B51">
        <v>29</v>
      </c>
      <c r="C51">
        <v>64</v>
      </c>
      <c r="D51">
        <v>3</v>
      </c>
      <c r="E51" s="4">
        <v>0.21422999999999998</v>
      </c>
    </row>
    <row r="52" spans="1:21" x14ac:dyDescent="0.25">
      <c r="A52" s="1">
        <v>46260</v>
      </c>
      <c r="B52">
        <v>85</v>
      </c>
      <c r="C52">
        <v>62</v>
      </c>
      <c r="D52">
        <v>0</v>
      </c>
    </row>
    <row r="53" spans="1:21" x14ac:dyDescent="0.25">
      <c r="A53" s="1">
        <v>46259</v>
      </c>
      <c r="B53">
        <v>13</v>
      </c>
      <c r="C53">
        <v>62</v>
      </c>
      <c r="D53">
        <v>1</v>
      </c>
      <c r="E53" s="4">
        <v>10.703772000000001</v>
      </c>
    </row>
    <row r="54" spans="1:21" x14ac:dyDescent="0.25">
      <c r="A54" s="1">
        <v>46258</v>
      </c>
      <c r="B54">
        <v>18</v>
      </c>
      <c r="C54">
        <v>56</v>
      </c>
      <c r="D54">
        <v>1</v>
      </c>
    </row>
    <row r="55" spans="1:21" x14ac:dyDescent="0.25">
      <c r="A55" s="1">
        <v>46257</v>
      </c>
      <c r="B55">
        <v>3</v>
      </c>
      <c r="C55">
        <v>0</v>
      </c>
      <c r="D55">
        <v>0</v>
      </c>
    </row>
    <row r="56" spans="1:21" x14ac:dyDescent="0.25">
      <c r="A56" s="1">
        <v>46256</v>
      </c>
      <c r="B56">
        <v>69</v>
      </c>
      <c r="C56">
        <v>53</v>
      </c>
      <c r="D56">
        <v>4</v>
      </c>
    </row>
    <row r="57" spans="1:21" x14ac:dyDescent="0.25">
      <c r="A57" s="1">
        <v>46255</v>
      </c>
      <c r="B57">
        <v>15</v>
      </c>
      <c r="C57">
        <v>60</v>
      </c>
      <c r="D57">
        <v>1</v>
      </c>
    </row>
    <row r="58" spans="1:21" x14ac:dyDescent="0.25">
      <c r="A58" s="1">
        <v>46254</v>
      </c>
      <c r="B58">
        <v>48</v>
      </c>
      <c r="C58">
        <v>43</v>
      </c>
      <c r="D58">
        <v>0</v>
      </c>
      <c r="E58" s="4">
        <v>8.4293359999999993</v>
      </c>
    </row>
    <row r="59" spans="1:21" x14ac:dyDescent="0.25">
      <c r="A59" s="1">
        <v>46253</v>
      </c>
      <c r="B59">
        <v>27</v>
      </c>
      <c r="C59">
        <v>51</v>
      </c>
      <c r="D59">
        <v>1</v>
      </c>
      <c r="G59" s="7"/>
      <c r="H59" s="7"/>
      <c r="I59" s="3"/>
      <c r="J59" s="3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25">
      <c r="A60" s="1">
        <v>46252</v>
      </c>
      <c r="B60">
        <v>0</v>
      </c>
      <c r="C60">
        <v>0</v>
      </c>
      <c r="D60">
        <v>2</v>
      </c>
      <c r="E60" s="4">
        <v>6.2419820000000001</v>
      </c>
    </row>
    <row r="61" spans="1:21" x14ac:dyDescent="0.25">
      <c r="A61" s="1">
        <v>46251</v>
      </c>
      <c r="B61">
        <v>12</v>
      </c>
      <c r="C61">
        <v>0</v>
      </c>
      <c r="D61">
        <v>1</v>
      </c>
      <c r="E61" s="4">
        <v>14.777381999999999</v>
      </c>
    </row>
    <row r="62" spans="1:21" x14ac:dyDescent="0.25">
      <c r="A62" s="1">
        <v>46250</v>
      </c>
      <c r="B62">
        <v>12</v>
      </c>
      <c r="C62">
        <v>0</v>
      </c>
    </row>
    <row r="63" spans="1:21" x14ac:dyDescent="0.25">
      <c r="A63" s="1">
        <v>46249</v>
      </c>
      <c r="C63">
        <v>0</v>
      </c>
    </row>
    <row r="64" spans="1:21" x14ac:dyDescent="0.25">
      <c r="A64" s="1">
        <v>46248</v>
      </c>
      <c r="B64">
        <v>7</v>
      </c>
      <c r="C64">
        <v>16</v>
      </c>
      <c r="D64">
        <v>0</v>
      </c>
      <c r="E64" s="4">
        <v>20.847041999999995</v>
      </c>
    </row>
    <row r="65" spans="1:5" x14ac:dyDescent="0.25">
      <c r="A65" s="1">
        <v>46247</v>
      </c>
      <c r="B65">
        <v>35</v>
      </c>
      <c r="C65">
        <v>21</v>
      </c>
      <c r="D65">
        <v>0</v>
      </c>
      <c r="E65" s="4">
        <v>5.4199330000000003</v>
      </c>
    </row>
    <row r="66" spans="1:5" x14ac:dyDescent="0.25">
      <c r="A66" s="1">
        <v>46246</v>
      </c>
      <c r="B66">
        <v>28</v>
      </c>
      <c r="C66">
        <v>21</v>
      </c>
      <c r="D66">
        <v>1</v>
      </c>
    </row>
    <row r="67" spans="1:5" x14ac:dyDescent="0.25">
      <c r="A67" s="1">
        <v>46245</v>
      </c>
      <c r="B67">
        <v>21</v>
      </c>
      <c r="C67">
        <v>25</v>
      </c>
      <c r="D67">
        <v>0</v>
      </c>
    </row>
    <row r="68" spans="1:5" x14ac:dyDescent="0.25">
      <c r="A68" s="1">
        <v>46244</v>
      </c>
      <c r="B68">
        <v>19</v>
      </c>
      <c r="C68">
        <v>11</v>
      </c>
      <c r="D68">
        <v>4</v>
      </c>
    </row>
    <row r="69" spans="1:5" x14ac:dyDescent="0.25">
      <c r="A69" s="1">
        <v>46243</v>
      </c>
      <c r="B69">
        <v>13</v>
      </c>
      <c r="C69">
        <v>0</v>
      </c>
      <c r="D69">
        <v>0</v>
      </c>
    </row>
    <row r="70" spans="1:5" x14ac:dyDescent="0.25">
      <c r="A70" s="1">
        <v>46242</v>
      </c>
      <c r="B70">
        <v>0</v>
      </c>
      <c r="C70">
        <v>0</v>
      </c>
      <c r="D70">
        <v>0</v>
      </c>
    </row>
    <row r="71" spans="1:5" x14ac:dyDescent="0.25">
      <c r="A71" s="1">
        <v>46241</v>
      </c>
      <c r="B71">
        <v>32</v>
      </c>
      <c r="C71">
        <v>0</v>
      </c>
      <c r="D71">
        <v>0</v>
      </c>
    </row>
    <row r="72" spans="1:5" x14ac:dyDescent="0.25">
      <c r="A72" s="1">
        <v>46240</v>
      </c>
      <c r="B72">
        <v>16</v>
      </c>
      <c r="C72">
        <v>0</v>
      </c>
      <c r="D72">
        <v>0</v>
      </c>
    </row>
    <row r="73" spans="1:5" x14ac:dyDescent="0.25">
      <c r="A73" s="1">
        <v>46239</v>
      </c>
      <c r="B73">
        <v>0</v>
      </c>
      <c r="C73">
        <v>0</v>
      </c>
      <c r="D73">
        <v>1</v>
      </c>
    </row>
    <row r="74" spans="1:5" x14ac:dyDescent="0.25">
      <c r="A74" s="1">
        <v>46238</v>
      </c>
      <c r="B74">
        <v>0</v>
      </c>
      <c r="C74">
        <v>0</v>
      </c>
      <c r="D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B4CD-150C-4CE3-A76E-CB540C2892DD}">
  <dimension ref="A1:I13"/>
  <sheetViews>
    <sheetView workbookViewId="0">
      <selection activeCell="I17" sqref="I17"/>
    </sheetView>
  </sheetViews>
  <sheetFormatPr defaultRowHeight="15.75" x14ac:dyDescent="0.25"/>
  <cols>
    <col min="1" max="1" width="10.62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17</v>
      </c>
      <c r="B2">
        <v>9697</v>
      </c>
      <c r="C2">
        <v>11870</v>
      </c>
      <c r="D2">
        <f>26+146</f>
        <v>172</v>
      </c>
      <c r="E2">
        <v>95</v>
      </c>
      <c r="F2">
        <v>87</v>
      </c>
      <c r="G2">
        <v>49</v>
      </c>
      <c r="H2">
        <v>23</v>
      </c>
      <c r="I2">
        <v>661</v>
      </c>
    </row>
    <row r="3" spans="1:9" x14ac:dyDescent="0.25">
      <c r="A3" t="s">
        <v>18</v>
      </c>
      <c r="B3">
        <f>4375+B6+B7</f>
        <v>4571</v>
      </c>
      <c r="C3">
        <f>7462+C6+C7</f>
        <v>7530</v>
      </c>
      <c r="D3">
        <f>D6+75</f>
        <v>76</v>
      </c>
      <c r="E3">
        <v>10</v>
      </c>
      <c r="F3">
        <v>14</v>
      </c>
      <c r="G3">
        <v>10</v>
      </c>
      <c r="H3">
        <v>8</v>
      </c>
      <c r="I3">
        <f>I6+170+I7</f>
        <v>172</v>
      </c>
    </row>
    <row r="4" spans="1:9" x14ac:dyDescent="0.25">
      <c r="A4" t="s">
        <v>19</v>
      </c>
      <c r="B4">
        <f>B2-B3</f>
        <v>5126</v>
      </c>
      <c r="C4">
        <f>C2-C3</f>
        <v>4340</v>
      </c>
      <c r="D4">
        <f t="shared" ref="D4:H4" si="0">D2-D3</f>
        <v>96</v>
      </c>
      <c r="E4">
        <f t="shared" si="0"/>
        <v>85</v>
      </c>
      <c r="F4">
        <f t="shared" si="0"/>
        <v>73</v>
      </c>
      <c r="G4">
        <f t="shared" si="0"/>
        <v>39</v>
      </c>
      <c r="H4">
        <f t="shared" si="0"/>
        <v>15</v>
      </c>
      <c r="I4">
        <f>I2-I3</f>
        <v>489</v>
      </c>
    </row>
    <row r="5" spans="1:9" x14ac:dyDescent="0.25">
      <c r="A5" s="1">
        <v>46302</v>
      </c>
      <c r="B5">
        <v>57</v>
      </c>
      <c r="C5">
        <v>34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5">
      <c r="A6" s="1">
        <v>46303</v>
      </c>
      <c r="B6">
        <v>94</v>
      </c>
      <c r="C6">
        <v>40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25">
      <c r="A7" s="1">
        <v>46304</v>
      </c>
      <c r="B7">
        <v>102</v>
      </c>
      <c r="C7">
        <v>28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25">
      <c r="A8" s="1">
        <v>46305</v>
      </c>
      <c r="B8">
        <v>72</v>
      </c>
      <c r="C8">
        <v>10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">
        <v>46306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1">
        <v>46307</v>
      </c>
      <c r="B10">
        <v>92</v>
      </c>
      <c r="C10">
        <v>26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</row>
    <row r="11" spans="1:9" x14ac:dyDescent="0.25">
      <c r="A11" s="1">
        <v>46308</v>
      </c>
      <c r="B11">
        <v>93</v>
      </c>
      <c r="C11">
        <v>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46309</v>
      </c>
      <c r="B12">
        <v>101</v>
      </c>
      <c r="C12">
        <v>34</v>
      </c>
      <c r="E12">
        <v>0</v>
      </c>
      <c r="F12">
        <v>0</v>
      </c>
      <c r="G12">
        <v>1</v>
      </c>
      <c r="H12">
        <v>0</v>
      </c>
      <c r="I12">
        <v>0</v>
      </c>
    </row>
    <row r="13" spans="1:9" x14ac:dyDescent="0.25">
      <c r="A13" s="1">
        <v>46310</v>
      </c>
      <c r="B13">
        <v>84</v>
      </c>
      <c r="C13">
        <v>38</v>
      </c>
      <c r="D13">
        <v>1</v>
      </c>
      <c r="E13">
        <v>0</v>
      </c>
      <c r="F13">
        <v>0</v>
      </c>
      <c r="G13">
        <v>0</v>
      </c>
      <c r="H13">
        <v>0</v>
      </c>
      <c r="I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84ED-EF07-4058-B570-9E7F8CBFADFB}">
  <dimension ref="A1:B6"/>
  <sheetViews>
    <sheetView workbookViewId="0">
      <selection activeCell="B21" sqref="B21"/>
    </sheetView>
  </sheetViews>
  <sheetFormatPr defaultRowHeight="15.75" x14ac:dyDescent="0.25"/>
  <cols>
    <col min="1" max="1" width="9.625" bestFit="1" customWidth="1"/>
    <col min="2" max="2" width="27.125" customWidth="1"/>
  </cols>
  <sheetData>
    <row r="1" spans="1:2" x14ac:dyDescent="0.25">
      <c r="A1" t="s">
        <v>20</v>
      </c>
      <c r="B1" t="s">
        <v>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22</v>
      </c>
    </row>
    <row r="4" spans="1:2" x14ac:dyDescent="0.25">
      <c r="A4" t="s">
        <v>24</v>
      </c>
      <c r="B4" s="1" t="s">
        <v>22</v>
      </c>
    </row>
    <row r="5" spans="1:2" x14ac:dyDescent="0.25">
      <c r="A5" t="s">
        <v>25</v>
      </c>
      <c r="B5" s="1">
        <v>46336</v>
      </c>
    </row>
    <row r="6" spans="1:2" x14ac:dyDescent="0.25">
      <c r="A6" t="s">
        <v>26</v>
      </c>
      <c r="B6" s="1">
        <v>46371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Updates</vt:lpstr>
      <vt:lpstr>Critical areas</vt:lpstr>
      <vt:lpstr>Joints</vt:lpstr>
      <vt:lpstr>Chimney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Abhilash Kaimal</cp:lastModifiedBy>
  <cp:revision/>
  <dcterms:created xsi:type="dcterms:W3CDTF">2026-08-04T03:50:57Z</dcterms:created>
  <dcterms:modified xsi:type="dcterms:W3CDTF">2026-10-16T13:36:15Z</dcterms:modified>
  <cp:category/>
  <cp:contentStatus/>
</cp:coreProperties>
</file>