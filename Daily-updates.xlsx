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149" documentId="11_DC8F342965EF1E1694601FD3C012B93540A277E6" xr6:coauthVersionLast="47" xr6:coauthVersionMax="47" xr10:uidLastSave="{3884AA94-BD12-45DA-97D0-630BD87A8DF3}"/>
  <bookViews>
    <workbookView xWindow="-120" yWindow="-120" windowWidth="29040" windowHeight="15720" firstSheet="1" activeTab="2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<sst xmlns="http://schemas.openxmlformats.org/spreadsheetml/2006/main" count="37" uniqueCount="31">
  <si>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</si>
  <si>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</si>
  <si>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</si>
  <si>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</si>
  <si>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Daily-18; June - 1229; July - 832; Aug - 642; Sep- 1122 MT; Oct 885;Total - 5500 MT</t>
  </si>
  <si>
    <t>Boiler</t>
  </si>
  <si>
    <t>Daily-85  - (SH-61 and RH-24); Oct-1565 NDHT Balance joints - 8649 (SH - 4513; RH - 4136)</t>
  </si>
  <si>
    <t>PCP Joint</t>
  </si>
  <si>
    <t>Daily-0; MS Joints - 74/146; MS to PRDS - 11/26; HRH - 10/95; CRH -14/87; LPBP - 11/49; HPBP-8/23; BFD- 177/661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</si>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</sst>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11" sqref="C11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46313</v>
      </c>
      <c r="B2" t="s">
        <v>3</v>
      </c>
      <c r="C2" t="s">
        <v>4</v>
      </c>
    </row>
    <row r="3" spans="1:3">
      <c r="A3" s="1">
        <v>46312</v>
      </c>
      <c r="B3" t="s">
        <v>5</v>
      </c>
      <c r="C3" t="s">
        <v>6</v>
      </c>
    </row>
    <row r="4" spans="1:3">
      <c r="A4" s="1">
        <v>46312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77"/>
  <sheetViews>
    <sheetView workbookViewId="0">
      <selection activeCell="F6" sqref="F6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27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27">
      <c r="A2" t="s">
        <v>12</v>
      </c>
      <c r="B2">
        <v>30</v>
      </c>
      <c r="C2">
        <v>200</v>
      </c>
      <c r="D2">
        <v>3</v>
      </c>
      <c r="E2">
        <v>30</v>
      </c>
    </row>
    <row r="3" spans="1:27">
      <c r="A3" s="1">
        <v>46313</v>
      </c>
      <c r="B3">
        <v>18</v>
      </c>
    </row>
    <row r="4" spans="1:27">
      <c r="A4" s="1">
        <v>46312</v>
      </c>
      <c r="B4">
        <v>14</v>
      </c>
      <c r="C4">
        <v>85</v>
      </c>
      <c r="D4">
        <v>0</v>
      </c>
    </row>
    <row r="5" spans="1:27">
      <c r="A5" s="1">
        <v>46311</v>
      </c>
      <c r="B5">
        <v>117</v>
      </c>
      <c r="C5">
        <v>148</v>
      </c>
      <c r="D5">
        <v>2</v>
      </c>
      <c r="E5">
        <v>21</v>
      </c>
    </row>
    <row r="6" spans="1:27">
      <c r="A6" s="1">
        <v>46310</v>
      </c>
      <c r="B6">
        <v>56</v>
      </c>
      <c r="C6">
        <v>122</v>
      </c>
      <c r="D6">
        <v>1</v>
      </c>
      <c r="E6" s="6">
        <v>20.72</v>
      </c>
    </row>
    <row r="7" spans="1:27">
      <c r="A7" s="1">
        <v>46309</v>
      </c>
      <c r="B7">
        <v>23</v>
      </c>
      <c r="C7">
        <v>135</v>
      </c>
      <c r="D7">
        <v>2</v>
      </c>
      <c r="E7" s="6">
        <v>16.425999999999998</v>
      </c>
    </row>
    <row r="8" spans="1:27">
      <c r="A8" s="1">
        <v>46308</v>
      </c>
      <c r="B8">
        <v>44</v>
      </c>
      <c r="C8">
        <v>127</v>
      </c>
      <c r="D8">
        <v>1</v>
      </c>
      <c r="E8" s="6">
        <v>18.917999999999999</v>
      </c>
    </row>
    <row r="9" spans="1:27">
      <c r="A9" s="1">
        <v>46307</v>
      </c>
      <c r="B9">
        <v>102</v>
      </c>
      <c r="C9">
        <v>118</v>
      </c>
      <c r="D9">
        <v>3</v>
      </c>
      <c r="E9" s="6">
        <v>7.9720000000000004</v>
      </c>
    </row>
    <row r="10" spans="1:27">
      <c r="A10" s="1">
        <v>46306</v>
      </c>
      <c r="B10">
        <v>21</v>
      </c>
      <c r="C10">
        <v>0</v>
      </c>
      <c r="D10">
        <v>0</v>
      </c>
      <c r="E10" s="6"/>
    </row>
    <row r="11" spans="1:27">
      <c r="A11" s="1">
        <v>46305</v>
      </c>
      <c r="B11">
        <v>83</v>
      </c>
      <c r="C11">
        <v>82</v>
      </c>
      <c r="D11">
        <v>1</v>
      </c>
      <c r="E11" s="6"/>
    </row>
    <row r="12" spans="1:27">
      <c r="A12" s="1">
        <v>46304</v>
      </c>
      <c r="B12">
        <v>74</v>
      </c>
      <c r="C12">
        <v>130</v>
      </c>
      <c r="D12">
        <v>1</v>
      </c>
      <c r="E12" s="6">
        <v>4.3440000000000003</v>
      </c>
      <c r="I12" s="2"/>
      <c r="J12" s="3"/>
      <c r="K12" s="2"/>
      <c r="L12" s="2"/>
      <c r="M12" s="2"/>
      <c r="N12" s="3"/>
      <c r="P12" s="2"/>
      <c r="Q12" s="3"/>
      <c r="R12" s="2"/>
      <c r="S12" s="3"/>
      <c r="T12" s="2"/>
      <c r="U12" s="2"/>
      <c r="X12" s="3"/>
      <c r="Y12" s="2"/>
      <c r="Z12" s="2"/>
      <c r="AA12" s="2"/>
    </row>
    <row r="13" spans="1:27">
      <c r="A13" s="1">
        <v>46303</v>
      </c>
      <c r="B13">
        <v>70</v>
      </c>
      <c r="C13">
        <v>134</v>
      </c>
      <c r="D13">
        <v>1</v>
      </c>
      <c r="E13" s="6"/>
    </row>
    <row r="14" spans="1:27">
      <c r="A14" s="1">
        <v>46302</v>
      </c>
      <c r="B14">
        <v>26</v>
      </c>
      <c r="C14">
        <v>91</v>
      </c>
      <c r="D14">
        <v>0</v>
      </c>
      <c r="E14" s="6"/>
    </row>
    <row r="15" spans="1:27">
      <c r="A15" s="1">
        <v>46301</v>
      </c>
      <c r="B15">
        <v>45</v>
      </c>
      <c r="C15">
        <v>104</v>
      </c>
      <c r="D15">
        <v>4</v>
      </c>
      <c r="E15" s="6">
        <v>4.5679999999999996</v>
      </c>
    </row>
    <row r="16" spans="1:27">
      <c r="A16" s="1">
        <v>46300</v>
      </c>
      <c r="B16">
        <v>45</v>
      </c>
      <c r="C16">
        <v>123</v>
      </c>
      <c r="D16">
        <v>2</v>
      </c>
      <c r="E16" s="6">
        <v>6.4130000000000003</v>
      </c>
    </row>
    <row r="17" spans="1:5">
      <c r="A17" s="1">
        <v>46299</v>
      </c>
      <c r="B17">
        <v>66</v>
      </c>
      <c r="C17">
        <v>0</v>
      </c>
      <c r="D17">
        <v>0</v>
      </c>
      <c r="E17" s="6">
        <v>4.3440000000000003</v>
      </c>
    </row>
    <row r="18" spans="1:5">
      <c r="A18" s="1">
        <v>46298</v>
      </c>
      <c r="B18">
        <v>40</v>
      </c>
      <c r="C18">
        <v>65</v>
      </c>
      <c r="D18">
        <v>1</v>
      </c>
      <c r="E18" s="6"/>
    </row>
    <row r="19" spans="1:5">
      <c r="A19" s="1">
        <v>46297</v>
      </c>
      <c r="B19">
        <v>0</v>
      </c>
      <c r="C19">
        <v>0</v>
      </c>
      <c r="D19">
        <v>0</v>
      </c>
      <c r="E19" s="6"/>
    </row>
    <row r="20" spans="1:5">
      <c r="A20" s="1">
        <v>46296</v>
      </c>
      <c r="B20">
        <v>40</v>
      </c>
      <c r="C20">
        <v>101</v>
      </c>
      <c r="D20">
        <v>1</v>
      </c>
      <c r="E20" s="6"/>
    </row>
    <row r="21" spans="1:5">
      <c r="A21" s="1">
        <v>46295</v>
      </c>
      <c r="B21">
        <v>321</v>
      </c>
      <c r="C21">
        <v>139</v>
      </c>
      <c r="D21">
        <v>0</v>
      </c>
      <c r="E21" s="5">
        <v>37.679307999999999</v>
      </c>
    </row>
    <row r="22" spans="1:5">
      <c r="A22" s="1">
        <v>46294</v>
      </c>
      <c r="B22">
        <v>200</v>
      </c>
      <c r="C22">
        <v>114</v>
      </c>
      <c r="D22">
        <v>1</v>
      </c>
      <c r="E22" s="5">
        <v>33.449338000000004</v>
      </c>
    </row>
    <row r="23" spans="1:5">
      <c r="A23" s="1">
        <v>46293</v>
      </c>
      <c r="B23">
        <v>43</v>
      </c>
      <c r="C23">
        <v>0</v>
      </c>
      <c r="D23">
        <v>4</v>
      </c>
      <c r="E23" s="5">
        <v>42.041217999999994</v>
      </c>
    </row>
    <row r="24" spans="1:5">
      <c r="A24" s="1">
        <v>46292</v>
      </c>
      <c r="B24">
        <v>13</v>
      </c>
      <c r="C24">
        <v>0</v>
      </c>
      <c r="D24">
        <v>0</v>
      </c>
      <c r="E24" s="6"/>
    </row>
    <row r="25" spans="1:5">
      <c r="A25" s="1">
        <v>46291</v>
      </c>
      <c r="B25">
        <v>17</v>
      </c>
      <c r="C25">
        <v>39</v>
      </c>
      <c r="D25">
        <v>0</v>
      </c>
      <c r="E25" s="5">
        <v>16.912866999999999</v>
      </c>
    </row>
    <row r="26" spans="1:5">
      <c r="A26" s="1">
        <v>46290</v>
      </c>
      <c r="B26">
        <v>20</v>
      </c>
      <c r="C26">
        <v>121</v>
      </c>
      <c r="D26">
        <v>2</v>
      </c>
      <c r="E26" s="5">
        <v>11.657306</v>
      </c>
    </row>
    <row r="27" spans="1:5">
      <c r="A27" s="1">
        <v>46289</v>
      </c>
      <c r="B27">
        <v>3</v>
      </c>
      <c r="C27">
        <v>133</v>
      </c>
      <c r="D27">
        <v>1</v>
      </c>
    </row>
    <row r="28" spans="1:5">
      <c r="A28" s="1">
        <v>46288</v>
      </c>
      <c r="B28">
        <v>0</v>
      </c>
      <c r="C28">
        <v>143</v>
      </c>
      <c r="D28">
        <v>1</v>
      </c>
    </row>
    <row r="29" spans="1:5">
      <c r="A29" s="1">
        <v>46287</v>
      </c>
      <c r="B29">
        <v>9</v>
      </c>
      <c r="C29">
        <v>0</v>
      </c>
      <c r="D29">
        <v>1</v>
      </c>
    </row>
    <row r="30" spans="1:5">
      <c r="A30" s="1">
        <v>46286</v>
      </c>
      <c r="B30">
        <v>32</v>
      </c>
      <c r="C30">
        <v>131</v>
      </c>
      <c r="D30">
        <v>0</v>
      </c>
    </row>
    <row r="31" spans="1:5">
      <c r="A31" s="1">
        <v>46285</v>
      </c>
      <c r="B31">
        <v>42</v>
      </c>
      <c r="C31">
        <v>111</v>
      </c>
      <c r="D31">
        <v>0</v>
      </c>
    </row>
    <row r="32" spans="1:5">
      <c r="A32" s="1">
        <v>46284</v>
      </c>
      <c r="B32">
        <v>16</v>
      </c>
      <c r="C32">
        <v>118</v>
      </c>
      <c r="D32">
        <v>4</v>
      </c>
    </row>
    <row r="33" spans="1:5">
      <c r="A33" s="1">
        <v>46283</v>
      </c>
      <c r="B33">
        <v>16</v>
      </c>
      <c r="C33">
        <v>118</v>
      </c>
      <c r="D33">
        <v>4</v>
      </c>
      <c r="E33" s="5">
        <v>30.143184999999992</v>
      </c>
    </row>
    <row r="34" spans="1:5">
      <c r="A34" s="1">
        <v>46281</v>
      </c>
      <c r="B34">
        <v>33</v>
      </c>
      <c r="C34">
        <v>98</v>
      </c>
      <c r="D34">
        <v>0</v>
      </c>
    </row>
    <row r="35" spans="1:5">
      <c r="A35" s="1">
        <v>46280</v>
      </c>
      <c r="B35">
        <v>3</v>
      </c>
      <c r="C35">
        <v>125</v>
      </c>
      <c r="D35">
        <v>1</v>
      </c>
    </row>
    <row r="36" spans="1:5">
      <c r="A36" s="1">
        <v>46279</v>
      </c>
      <c r="B36">
        <v>58</v>
      </c>
      <c r="C36">
        <v>100</v>
      </c>
      <c r="D36">
        <v>2</v>
      </c>
    </row>
    <row r="37" spans="1:5">
      <c r="A37" s="1">
        <v>46278</v>
      </c>
      <c r="B37">
        <v>3</v>
      </c>
      <c r="C37">
        <v>0</v>
      </c>
      <c r="D37">
        <v>0</v>
      </c>
    </row>
    <row r="38" spans="1:5">
      <c r="A38" s="1">
        <v>46277</v>
      </c>
      <c r="B38">
        <v>63</v>
      </c>
      <c r="C38">
        <v>42</v>
      </c>
      <c r="D38">
        <v>2</v>
      </c>
    </row>
    <row r="39" spans="1:5">
      <c r="A39" s="1">
        <v>46276</v>
      </c>
      <c r="B39">
        <v>19</v>
      </c>
      <c r="C39">
        <v>73</v>
      </c>
      <c r="D39">
        <v>1</v>
      </c>
      <c r="E39" s="5">
        <v>5.3833070000000003</v>
      </c>
    </row>
    <row r="40" spans="1:5">
      <c r="A40" s="1">
        <v>46275</v>
      </c>
      <c r="B40">
        <v>21</v>
      </c>
      <c r="C40">
        <v>16</v>
      </c>
      <c r="D40">
        <v>1</v>
      </c>
    </row>
    <row r="41" spans="1:5">
      <c r="A41" s="1">
        <v>46274</v>
      </c>
      <c r="B41">
        <v>47</v>
      </c>
      <c r="C41">
        <v>84</v>
      </c>
      <c r="D41">
        <v>3</v>
      </c>
    </row>
    <row r="42" spans="1:5">
      <c r="A42" s="1">
        <v>46273</v>
      </c>
      <c r="B42">
        <v>45</v>
      </c>
      <c r="C42">
        <v>105</v>
      </c>
      <c r="D42">
        <v>1</v>
      </c>
    </row>
    <row r="43" spans="1:5">
      <c r="A43" s="1">
        <v>46272</v>
      </c>
      <c r="B43">
        <v>38</v>
      </c>
      <c r="C43">
        <v>92</v>
      </c>
      <c r="D43">
        <v>0</v>
      </c>
    </row>
    <row r="44" spans="1:5">
      <c r="A44" s="1">
        <v>46271</v>
      </c>
      <c r="B44">
        <v>13</v>
      </c>
      <c r="C44">
        <v>0</v>
      </c>
      <c r="D44">
        <v>0</v>
      </c>
    </row>
    <row r="45" spans="1:5">
      <c r="A45" s="1">
        <v>46270</v>
      </c>
      <c r="B45">
        <v>0</v>
      </c>
      <c r="C45">
        <v>90</v>
      </c>
      <c r="D45">
        <v>2</v>
      </c>
    </row>
    <row r="46" spans="1:5">
      <c r="A46" s="1">
        <v>46269</v>
      </c>
      <c r="B46">
        <v>0</v>
      </c>
      <c r="C46">
        <v>0</v>
      </c>
      <c r="D46">
        <v>0</v>
      </c>
    </row>
    <row r="47" spans="1:5">
      <c r="A47" s="1">
        <v>46268</v>
      </c>
      <c r="B47">
        <v>23</v>
      </c>
      <c r="C47">
        <v>74</v>
      </c>
      <c r="D47">
        <v>0</v>
      </c>
    </row>
    <row r="48" spans="1:5">
      <c r="A48" s="1">
        <v>46267</v>
      </c>
      <c r="B48">
        <v>7</v>
      </c>
      <c r="C48">
        <v>75</v>
      </c>
      <c r="D48">
        <v>1</v>
      </c>
    </row>
    <row r="49" spans="1:21">
      <c r="A49" s="1">
        <v>46266</v>
      </c>
      <c r="B49">
        <v>17</v>
      </c>
      <c r="C49">
        <v>0</v>
      </c>
      <c r="D49">
        <v>1</v>
      </c>
    </row>
    <row r="50" spans="1:21">
      <c r="A50" s="1">
        <v>46265</v>
      </c>
      <c r="C50">
        <v>62</v>
      </c>
      <c r="D50">
        <v>1</v>
      </c>
    </row>
    <row r="51" spans="1:21">
      <c r="A51" s="1">
        <v>46264</v>
      </c>
      <c r="B51">
        <v>5</v>
      </c>
      <c r="C51">
        <v>0</v>
      </c>
      <c r="D51">
        <v>0</v>
      </c>
    </row>
    <row r="52" spans="1:21">
      <c r="A52" s="1">
        <v>46263</v>
      </c>
      <c r="B52">
        <v>73</v>
      </c>
      <c r="C52">
        <v>62</v>
      </c>
      <c r="D52">
        <v>1</v>
      </c>
    </row>
    <row r="53" spans="1:21">
      <c r="A53" s="1">
        <v>46262</v>
      </c>
      <c r="B53">
        <v>67</v>
      </c>
      <c r="C53">
        <v>54</v>
      </c>
      <c r="D53">
        <v>0</v>
      </c>
    </row>
    <row r="54" spans="1:21">
      <c r="A54" s="1">
        <v>46261</v>
      </c>
      <c r="B54">
        <v>29</v>
      </c>
      <c r="C54">
        <v>64</v>
      </c>
      <c r="D54">
        <v>3</v>
      </c>
      <c r="E54" s="4">
        <v>0.21422999999999998</v>
      </c>
    </row>
    <row r="55" spans="1:21">
      <c r="A55" s="1">
        <v>46260</v>
      </c>
      <c r="B55">
        <v>85</v>
      </c>
      <c r="C55">
        <v>62</v>
      </c>
      <c r="D55">
        <v>0</v>
      </c>
    </row>
    <row r="56" spans="1:21">
      <c r="A56" s="1">
        <v>46259</v>
      </c>
      <c r="B56">
        <v>13</v>
      </c>
      <c r="C56">
        <v>62</v>
      </c>
      <c r="D56">
        <v>1</v>
      </c>
      <c r="E56" s="4">
        <v>10.703772000000001</v>
      </c>
    </row>
    <row r="57" spans="1:21">
      <c r="A57" s="1">
        <v>46258</v>
      </c>
      <c r="B57">
        <v>18</v>
      </c>
      <c r="C57">
        <v>56</v>
      </c>
      <c r="D57">
        <v>1</v>
      </c>
    </row>
    <row r="58" spans="1:21">
      <c r="A58" s="1">
        <v>46257</v>
      </c>
      <c r="B58">
        <v>3</v>
      </c>
      <c r="C58">
        <v>0</v>
      </c>
      <c r="D58">
        <v>0</v>
      </c>
    </row>
    <row r="59" spans="1:21">
      <c r="A59" s="1">
        <v>46256</v>
      </c>
      <c r="B59">
        <v>69</v>
      </c>
      <c r="C59">
        <v>53</v>
      </c>
      <c r="D59">
        <v>4</v>
      </c>
    </row>
    <row r="60" spans="1:21">
      <c r="A60" s="1">
        <v>46255</v>
      </c>
      <c r="B60">
        <v>15</v>
      </c>
      <c r="C60">
        <v>60</v>
      </c>
      <c r="D60">
        <v>1</v>
      </c>
    </row>
    <row r="61" spans="1:21">
      <c r="A61" s="1">
        <v>46254</v>
      </c>
      <c r="B61">
        <v>48</v>
      </c>
      <c r="C61">
        <v>43</v>
      </c>
      <c r="D61">
        <v>0</v>
      </c>
      <c r="E61" s="4">
        <v>8.4293359999999993</v>
      </c>
    </row>
    <row r="62" spans="1:21">
      <c r="A62" s="1">
        <v>46253</v>
      </c>
      <c r="B62">
        <v>27</v>
      </c>
      <c r="C62">
        <v>51</v>
      </c>
      <c r="D62">
        <v>1</v>
      </c>
      <c r="G62" s="7"/>
      <c r="H62" s="7"/>
      <c r="I62" s="3"/>
      <c r="J62" s="3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</row>
    <row r="63" spans="1:21">
      <c r="A63" s="1">
        <v>46252</v>
      </c>
      <c r="B63">
        <v>0</v>
      </c>
      <c r="C63">
        <v>0</v>
      </c>
      <c r="D63">
        <v>2</v>
      </c>
      <c r="E63" s="4">
        <v>6.2419820000000001</v>
      </c>
    </row>
    <row r="64" spans="1:21">
      <c r="A64" s="1">
        <v>46251</v>
      </c>
      <c r="B64">
        <v>12</v>
      </c>
      <c r="C64">
        <v>0</v>
      </c>
      <c r="D64">
        <v>1</v>
      </c>
      <c r="E64" s="4">
        <v>14.777381999999999</v>
      </c>
    </row>
    <row r="65" spans="1:5">
      <c r="A65" s="1">
        <v>46250</v>
      </c>
      <c r="B65">
        <v>12</v>
      </c>
      <c r="C65">
        <v>0</v>
      </c>
    </row>
    <row r="66" spans="1:5">
      <c r="A66" s="1">
        <v>46249</v>
      </c>
      <c r="C66">
        <v>0</v>
      </c>
    </row>
    <row r="67" spans="1:5">
      <c r="A67" s="1">
        <v>46248</v>
      </c>
      <c r="B67">
        <v>7</v>
      </c>
      <c r="C67">
        <v>16</v>
      </c>
      <c r="D67">
        <v>0</v>
      </c>
      <c r="E67" s="4">
        <v>20.847041999999995</v>
      </c>
    </row>
    <row r="68" spans="1:5">
      <c r="A68" s="1">
        <v>46247</v>
      </c>
      <c r="B68">
        <v>35</v>
      </c>
      <c r="C68">
        <v>21</v>
      </c>
      <c r="D68">
        <v>0</v>
      </c>
      <c r="E68" s="4">
        <v>5.4199330000000003</v>
      </c>
    </row>
    <row r="69" spans="1:5">
      <c r="A69" s="1">
        <v>46246</v>
      </c>
      <c r="B69">
        <v>28</v>
      </c>
      <c r="C69">
        <v>21</v>
      </c>
      <c r="D69">
        <v>1</v>
      </c>
    </row>
    <row r="70" spans="1:5">
      <c r="A70" s="1">
        <v>46245</v>
      </c>
      <c r="B70">
        <v>21</v>
      </c>
      <c r="C70">
        <v>25</v>
      </c>
      <c r="D70">
        <v>0</v>
      </c>
    </row>
    <row r="71" spans="1:5">
      <c r="A71" s="1">
        <v>46244</v>
      </c>
      <c r="B71">
        <v>19</v>
      </c>
      <c r="C71">
        <v>11</v>
      </c>
      <c r="D71">
        <v>4</v>
      </c>
    </row>
    <row r="72" spans="1:5">
      <c r="A72" s="1">
        <v>46243</v>
      </c>
      <c r="B72">
        <v>13</v>
      </c>
      <c r="C72">
        <v>0</v>
      </c>
      <c r="D72">
        <v>0</v>
      </c>
    </row>
    <row r="73" spans="1:5">
      <c r="A73" s="1">
        <v>46242</v>
      </c>
      <c r="B73">
        <v>0</v>
      </c>
      <c r="C73">
        <v>0</v>
      </c>
      <c r="D73">
        <v>0</v>
      </c>
    </row>
    <row r="74" spans="1:5">
      <c r="A74" s="1">
        <v>46241</v>
      </c>
      <c r="B74">
        <v>32</v>
      </c>
      <c r="C74">
        <v>0</v>
      </c>
      <c r="D74">
        <v>0</v>
      </c>
    </row>
    <row r="75" spans="1:5">
      <c r="A75" s="1">
        <v>46240</v>
      </c>
      <c r="B75">
        <v>16</v>
      </c>
      <c r="C75">
        <v>0</v>
      </c>
      <c r="D75">
        <v>0</v>
      </c>
    </row>
    <row r="76" spans="1:5">
      <c r="A76" s="1">
        <v>46239</v>
      </c>
      <c r="B76">
        <v>0</v>
      </c>
      <c r="C76">
        <v>0</v>
      </c>
      <c r="D76">
        <v>1</v>
      </c>
    </row>
    <row r="77" spans="1:5">
      <c r="A77" s="1">
        <v>46238</v>
      </c>
      <c r="B77">
        <v>0</v>
      </c>
      <c r="C77">
        <v>0</v>
      </c>
      <c r="D7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16"/>
  <sheetViews>
    <sheetView tabSelected="1" workbookViewId="0">
      <selection activeCell="A16" sqref="A16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5184</v>
      </c>
      <c r="C3">
        <f>7462+SUM(C6:C100)</f>
        <v>7734</v>
      </c>
      <c r="D3">
        <f>75+SUM(D5:D100)</f>
        <v>82</v>
      </c>
      <c r="E3">
        <f>10+SUM(E5:E150)</f>
        <v>10</v>
      </c>
      <c r="F3">
        <f>10+SUM(F5:F100)</f>
        <v>12</v>
      </c>
      <c r="G3">
        <f>8+SUM(G5:G100)</f>
        <v>8</v>
      </c>
      <c r="H3">
        <f>14+SUM(H5:H100)</f>
        <v>14</v>
      </c>
      <c r="I3">
        <f>170+SUM(I5:I150)</f>
        <v>178</v>
      </c>
      <c r="J3">
        <f>1195+SUM(J5:J200)</f>
        <v>1284</v>
      </c>
    </row>
    <row r="4" spans="1:10">
      <c r="A4" t="s">
        <v>23</v>
      </c>
      <c r="B4">
        <f>B2-B3</f>
        <v>4513</v>
      </c>
      <c r="C4">
        <f>C2-C3</f>
        <v>4136</v>
      </c>
      <c r="D4">
        <f t="shared" ref="D4:G4" si="0">D2-D3</f>
        <v>90</v>
      </c>
      <c r="E4">
        <f t="shared" si="0"/>
        <v>85</v>
      </c>
      <c r="F4">
        <f t="shared" si="0"/>
        <v>37</v>
      </c>
      <c r="G4">
        <f t="shared" si="0"/>
        <v>15</v>
      </c>
      <c r="H4">
        <f>H2-H3</f>
        <v>73</v>
      </c>
      <c r="I4">
        <f>I2-I3</f>
        <v>483</v>
      </c>
      <c r="J4">
        <f>J2-J3</f>
        <v>3216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2026-10-19T09:38:36Z</dcterms:modified>
  <cp:category/>
  <cp:contentStatus/>
</cp:coreProperties>
</file>